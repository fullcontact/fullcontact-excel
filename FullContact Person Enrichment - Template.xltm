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concurrentCalc="0"/>
</workbook>
</file>

<file path=xl/calcChain.xml><?xml version="1.0" encoding="utf-8"?>
<calcChain xmlns="http://schemas.openxmlformats.org/spreadsheetml/2006/main">
  <c r="D17" i="3" l="1"/>
  <c r="D35" i="3"/>
  <c r="D3" i="3"/>
  <c r="E35" i="3"/>
  <c r="F38" i="6"/>
  <c r="D38" i="6"/>
  <c r="B38" i="6"/>
  <c r="D16"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42" i="3"/>
  <c r="C141" i="3"/>
  <c r="C140" i="3"/>
  <c r="C139" i="3"/>
  <c r="C138" i="3"/>
  <c r="C129" i="3"/>
  <c r="B18" i="6"/>
  <c r="B19" i="6"/>
  <c r="B20" i="6"/>
  <c r="B21" i="6"/>
  <c r="B22" i="6"/>
  <c r="B23" i="6"/>
  <c r="B24" i="6"/>
  <c r="B25" i="6"/>
  <c r="B26" i="6"/>
  <c r="B27" i="6"/>
  <c r="B28" i="6"/>
  <c r="B29" i="6"/>
  <c r="B30" i="6"/>
  <c r="B31" i="6"/>
  <c r="B32" i="6"/>
  <c r="B33" i="6"/>
  <c r="B34" i="6"/>
  <c r="B35" i="6"/>
  <c r="B36" i="6"/>
  <c r="B37" i="6"/>
  <c r="D7" i="3"/>
  <c r="E7" i="3"/>
  <c r="D13" i="3"/>
  <c r="D16" i="6"/>
  <c r="D15" i="3"/>
  <c r="D18" i="6"/>
  <c r="D22" i="3"/>
  <c r="D25" i="6"/>
  <c r="D25" i="3"/>
  <c r="D28" i="6"/>
  <c r="D23" i="3"/>
  <c r="D26" i="6"/>
  <c r="D33" i="3"/>
  <c r="D36" i="6"/>
  <c r="D29" i="3"/>
  <c r="D32" i="6"/>
  <c r="D14" i="3"/>
  <c r="D17" i="6"/>
  <c r="D20" i="6"/>
  <c r="D26" i="3"/>
  <c r="D29" i="6"/>
  <c r="D19" i="6"/>
  <c r="D30" i="3"/>
  <c r="D33" i="6"/>
  <c r="D18" i="3"/>
  <c r="D21" i="6"/>
  <c r="D24" i="3"/>
  <c r="D27" i="6"/>
  <c r="D21" i="3"/>
  <c r="D24" i="6"/>
  <c r="D28" i="3"/>
  <c r="D31" i="6"/>
  <c r="D20" i="3"/>
  <c r="D23" i="6"/>
  <c r="D19" i="3"/>
  <c r="D22" i="6"/>
  <c r="D32" i="3"/>
  <c r="D35" i="6"/>
  <c r="D34" i="3"/>
  <c r="D37" i="6"/>
  <c r="D31" i="3"/>
  <c r="D34" i="6"/>
  <c r="D27" i="3"/>
  <c r="D30" i="6"/>
  <c r="E6" i="6"/>
  <c r="B17" i="6"/>
  <c r="B16" i="6"/>
  <c r="D132" i="3"/>
  <c r="E49" i="3"/>
  <c r="E48" i="3"/>
  <c r="E47" i="3"/>
  <c r="E46" i="3"/>
  <c r="E45" i="3"/>
  <c r="E44" i="3"/>
  <c r="E43" i="3"/>
  <c r="E40" i="3"/>
  <c r="D40" i="3"/>
  <c r="D8" i="3"/>
  <c r="E9" i="6"/>
  <c r="D4" i="3"/>
  <c r="E7" i="6"/>
  <c r="E10" i="3"/>
  <c r="D1" i="3"/>
  <c r="B2" i="6"/>
  <c r="E34" i="3"/>
  <c r="F37" i="6"/>
  <c r="E3" i="3"/>
  <c r="E19" i="3"/>
  <c r="F22" i="6"/>
  <c r="O143" i="6"/>
  <c r="E8" i="3"/>
  <c r="E31" i="3"/>
  <c r="F34" i="6"/>
  <c r="E32" i="3"/>
  <c r="F35" i="6"/>
  <c r="E16" i="3"/>
  <c r="F19" i="6"/>
  <c r="E50" i="3"/>
  <c r="E53" i="3"/>
  <c r="O138" i="6"/>
  <c r="E52" i="3"/>
  <c r="E8" i="6"/>
  <c r="F8" i="6"/>
  <c r="E18" i="3"/>
  <c r="F21" i="6"/>
  <c r="E30" i="3"/>
  <c r="F33" i="6"/>
  <c r="E29" i="3"/>
  <c r="F32" i="6"/>
  <c r="E26" i="3"/>
  <c r="F29" i="6"/>
  <c r="E13" i="3"/>
  <c r="F16" i="6"/>
  <c r="E14" i="3"/>
  <c r="F17" i="6"/>
  <c r="E23" i="3"/>
  <c r="F26" i="6"/>
  <c r="E20" i="3"/>
  <c r="F23" i="6"/>
  <c r="E33" i="3"/>
  <c r="F36" i="6"/>
  <c r="E28" i="3"/>
  <c r="F31" i="6"/>
  <c r="E22" i="3"/>
  <c r="F25" i="6"/>
  <c r="E21" i="3"/>
  <c r="F24" i="6"/>
  <c r="E25" i="3"/>
  <c r="F28" i="6"/>
  <c r="E24" i="3"/>
  <c r="F27" i="6"/>
  <c r="E27" i="3"/>
  <c r="F30" i="6"/>
  <c r="E17" i="3"/>
  <c r="F20" i="6"/>
  <c r="E15" i="3"/>
  <c r="F18" i="6"/>
  <c r="E41" i="3"/>
  <c r="E56" i="3"/>
  <c r="D41" i="3"/>
  <c r="F7" i="6"/>
  <c r="F9" i="6"/>
  <c r="E55" i="3"/>
  <c r="E54" i="3"/>
  <c r="O142" i="6"/>
  <c r="E57" i="3"/>
  <c r="O141" i="6"/>
  <c r="O140" i="6"/>
  <c r="D133" i="3"/>
  <c r="O139" i="6"/>
</calcChain>
</file>

<file path=xl/sharedStrings.xml><?xml version="1.0" encoding="utf-8"?>
<sst xmlns="http://schemas.openxmlformats.org/spreadsheetml/2006/main" count="214" uniqueCount="191">
  <si>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</si>
  <si>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</si>
  <si>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</si>
  <si>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</si>
  <si>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</si>
  <si>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</si>
  <si>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</si>
  <si>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</si>
  <si>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</si>
  <si>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</si>
  <si>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</si>
  <si>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</si>
  <si>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</si>
  <si>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</si>
  <si>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</si>
  <si>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</si>
  <si>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</si>
  <si>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</si>
  <si>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</si>
  <si>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</si>
  <si>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</si>
  <si>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</si>
  <si>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</si>
  <si>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</si>
  <si>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</si>
  <si>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</si>
  <si>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</si>
  <si>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</si>
  <si>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</si>
  <si>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</si>
  <si>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</si>
  <si>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</si>
  <si>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</si>
  <si>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</si>
  <si>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</si>
  <si>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</si>
  <si>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</si>
  <si>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</si>
  <si>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</si>
  <si>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</si>
  <si>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</si>
  <si>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</si>
  <si>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</si>
  <si>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</si>
  <si>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</si>
  <si>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</si>
  <si>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</si>
  <si>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</si>
  <si>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</si>
  <si>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</si>
  <si>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</si>
  <si>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</si>
  <si>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</si>
  <si>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</si>
  <si>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</si>
  <si>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</si>
  <si>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</si>
  <si>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</si>
  <si>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</si>
  <si>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</si>
  <si>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</si>
  <si>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</si>
  <si>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</si>
  <si>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</si>
  <si>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</si>
  <si>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</si>
  <si>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</si>
  <si>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</si>
  <si>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</si>
  <si>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</si>
  <si>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</si>
  <si>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</si>
  <si>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</si>
  <si>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</si>
  <si>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</si>
  <si>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</si>
  <si>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</si>
  <si>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</si>
  <si>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</si>
  <si>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</si>
  <si>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</si>
  <si>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</si>
  <si>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</si>
  <si>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</si>
  <si>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</si>
  <si>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</si>
  <si>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</si>
  <si>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</si>
  <si>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</si>
  <si>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</si>
  <si>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</si>
  <si>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</si>
  <si>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</si>
  <si>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</si>
  <si>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</si>
  <si>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</si>
  <si>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</si>
  <si>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</si>
  <si>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</si>
  <si>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</si>
  <si>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</si>
  <si>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</si>
  <si>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</si>
  <si>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</si>
  <si>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</si>
  <si>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</si>
  <si>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</si>
  <si>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</si>
  <si>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</si>
  <si>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</si>
  <si>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</si>
  <si>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</si>
  <si>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</si>
  <si>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</si>
  <si>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</si>
  <si>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</si>
  <si>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</si>
  <si>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</si>
  <si>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</si>
  <si>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</si>
  <si>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</si>
  <si>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</si>
  <si>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</si>
  <si>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</si>
  <si>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</si>
  <si>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</si>
  <si>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</si>
  <si>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</si>
  <si>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</si>
  <si>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</si>
  <si>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</si>
  <si>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</si>
  <si>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</si>
  <si>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</si>
  <si>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</si>
  <si>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</si>
  <si>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</si>
  <si>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</si>
  <si>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</si>
  <si>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</si>
  <si>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</si>
  <si>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</si>
  <si>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</si>
  <si>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</si>
  <si>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</si>
  <si>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</si>
  <si>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</si>
  <si>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</si>
  <si>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</si>
  <si>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</si>
  <si>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</si>
  <si>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</si>
  <si>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</si>
  <si>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</si>
  <si>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</si>
  <si>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</si>
  <si>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</si>
  <si>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</si>
  <si>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</si>
  <si>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</si>
  <si>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</si>
  <si>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</si>
  <si>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</si>
  <si>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</si>
  <si>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</si>
  <si>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</si>
  <si>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</si>
  <si>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</si>
  <si>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</si>
  <si>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</si>
  <si>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</si>
  <si>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</si>
  <si>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</si>
  <si>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</si>
  <si>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</si>
  <si>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</si>
  <si>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</si>
  <si>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</si>
  <si>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</si>
  <si>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</si>
  <si>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</si>
  <si>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</si>
  <si>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</si>
  <si>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</si>
  <si>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</si>
  <si>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</si>
  <si>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</si>
  <si>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</si>
  <si>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</si>
  <si>
    <t>Likelihood</t>
  </si>
  <si>
    <t>The file will automatically save after every 50,000 email addresses are processed, as well as at the end.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</si>
</sst>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39" fillId="0" borderId="0" xfId="0" applyFont="1"/>
    <xf numFmtId="0" fontId="11" fillId="0" borderId="0" xfId="0" applyFont="1"/>
    <xf numFmtId="1" fontId="0" fillId="0" borderId="0" xfId="0" applyNumberFormat="1"/>
    <xf numFmtId="0" fontId="0" fillId="8" borderId="0" xfId="0" applyFill="1"/>
    <xf numFmtId="0" fontId="0" fillId="0" borderId="0" xfId="0" applyAlignment="1">
      <alignment vertical="center" wrapText="1"/>
    </xf>
    <xf numFmtId="0" fontId="32"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23637376"/>
        <c:axId val="71229440"/>
      </c:barChart>
      <c:catAx>
        <c:axId val="23637376"/>
        <c:scaling>
          <c:orientation val="minMax"/>
        </c:scaling>
        <c:delete val="0"/>
        <c:axPos val="l"/>
        <c:majorTickMark val="out"/>
        <c:minorTickMark val="none"/>
        <c:tickLblPos val="nextTo"/>
        <c:crossAx val="71229440"/>
        <c:crosses val="autoZero"/>
        <c:auto val="1"/>
        <c:lblAlgn val="ctr"/>
        <c:lblOffset val="100"/>
        <c:tickLblSkip val="1"/>
        <c:noMultiLvlLbl val="0"/>
      </c:catAx>
      <c:valAx>
        <c:axId val="71229440"/>
        <c:scaling>
          <c:orientation val="minMax"/>
          <c:max val="1"/>
        </c:scaling>
        <c:delete val="0"/>
        <c:axPos val="b"/>
        <c:majorGridlines/>
        <c:numFmt formatCode="0%" sourceLinked="0"/>
        <c:majorTickMark val="out"/>
        <c:minorTickMark val="none"/>
        <c:tickLblPos val="nextTo"/>
        <c:crossAx val="2363737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78666368"/>
        <c:axId val="78668160"/>
      </c:barChart>
      <c:catAx>
        <c:axId val="78666368"/>
        <c:scaling>
          <c:orientation val="minMax"/>
        </c:scaling>
        <c:delete val="0"/>
        <c:axPos val="b"/>
        <c:majorTickMark val="out"/>
        <c:minorTickMark val="none"/>
        <c:tickLblPos val="nextTo"/>
        <c:crossAx val="78668160"/>
        <c:crosses val="autoZero"/>
        <c:auto val="1"/>
        <c:lblAlgn val="ctr"/>
        <c:lblOffset val="100"/>
        <c:noMultiLvlLbl val="0"/>
      </c:catAx>
      <c:valAx>
        <c:axId val="78668160"/>
        <c:scaling>
          <c:orientation val="minMax"/>
        </c:scaling>
        <c:delete val="0"/>
        <c:axPos val="l"/>
        <c:majorGridlines/>
        <c:numFmt formatCode="0.0%" sourceLinked="1"/>
        <c:majorTickMark val="out"/>
        <c:minorTickMark val="none"/>
        <c:tickLblPos val="nextTo"/>
        <c:crossAx val="7866636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27</xdr:row>
          <xdr:rowOff>152400</xdr:rowOff>
        </xdr:from>
        <xdr:to>
          <xdr:col>9</xdr:col>
          <xdr:colOff>85725</xdr:colOff>
          <xdr:row>32</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28</xdr:row>
          <xdr:rowOff>9525</xdr:rowOff>
        </xdr:from>
        <xdr:to>
          <xdr:col>5</xdr:col>
          <xdr:colOff>142875</xdr:colOff>
          <xdr:row>32</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28</xdr:row>
          <xdr:rowOff>0</xdr:rowOff>
        </xdr:from>
        <xdr:to>
          <xdr:col>12</xdr:col>
          <xdr:colOff>514350</xdr:colOff>
          <xdr:row>32</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28</xdr:row>
          <xdr:rowOff>0</xdr:rowOff>
        </xdr:from>
        <xdr:to>
          <xdr:col>16</xdr:col>
          <xdr:colOff>304800</xdr:colOff>
          <xdr:row>32</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12</xdr:col>
          <xdr:colOff>57150</xdr:colOff>
          <xdr:row>26</xdr:row>
          <xdr:rowOff>95250</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24</xdr:row>
          <xdr:rowOff>152400</xdr:rowOff>
        </xdr:from>
        <xdr:to>
          <xdr:col>9</xdr:col>
          <xdr:colOff>257175</xdr:colOff>
          <xdr:row>26</xdr:row>
          <xdr:rowOff>57150</xdr:rowOff>
        </xdr:to>
        <xdr:sp macro="" textlink="">
          <xdr:nvSpPr>
            <xdr:cNvPr id="1043" name="Option 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MD5</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25</xdr:row>
          <xdr:rowOff>28575</xdr:rowOff>
        </xdr:from>
        <xdr:to>
          <xdr:col>12</xdr:col>
          <xdr:colOff>47625</xdr:colOff>
          <xdr:row>26</xdr:row>
          <xdr:rowOff>47625</xdr:rowOff>
        </xdr:to>
        <xdr:sp macro="" textlink="">
          <xdr:nvSpPr>
            <xdr:cNvPr id="1045" name="Label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e13743a7f1db7f4246badd6fd6ff54ff</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2"/>
      <c r="I13" s="63"/>
      <c r="J13" s="64"/>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27</xdr:row>
                    <xdr:rowOff>152400</xdr:rowOff>
                  </from>
                  <to>
                    <xdr:col>9</xdr:col>
                    <xdr:colOff>85725</xdr:colOff>
                    <xdr:row>32</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28</xdr:row>
                    <xdr:rowOff>9525</xdr:rowOff>
                  </from>
                  <to>
                    <xdr:col>5</xdr:col>
                    <xdr:colOff>142875</xdr:colOff>
                    <xdr:row>32</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28</xdr:row>
                    <xdr:rowOff>0</xdr:rowOff>
                  </from>
                  <to>
                    <xdr:col>12</xdr:col>
                    <xdr:colOff>514350</xdr:colOff>
                    <xdr:row>32</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28</xdr:row>
                    <xdr:rowOff>0</xdr:rowOff>
                  </from>
                  <to>
                    <xdr:col>16</xdr:col>
                    <xdr:colOff>304800</xdr:colOff>
                    <xdr:row>32</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12</xdr:col>
                    <xdr:colOff>57150</xdr:colOff>
                    <xdr:row>26</xdr:row>
                    <xdr:rowOff>95250</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mc:AlternateContent xmlns:mc="http://schemas.openxmlformats.org/markup-compatibility/2006">
          <mc:Choice Requires="x14">
            <control shapeId="1043" r:id="rId17" name="Option Button 19">
              <controlPr defaultSize="0" autoFill="0" autoLine="0" autoPict="0" macro="[0]!RenameEmailMD5_Click">
                <anchor moveWithCells="1">
                  <from>
                    <xdr:col>7</xdr:col>
                    <xdr:colOff>266700</xdr:colOff>
                    <xdr:row>24</xdr:row>
                    <xdr:rowOff>152400</xdr:rowOff>
                  </from>
                  <to>
                    <xdr:col>9</xdr:col>
                    <xdr:colOff>257175</xdr:colOff>
                    <xdr:row>26</xdr:row>
                    <xdr:rowOff>57150</xdr:rowOff>
                  </to>
                </anchor>
              </controlPr>
            </control>
          </mc:Choice>
        </mc:AlternateContent>
        <mc:AlternateContent xmlns:mc="http://schemas.openxmlformats.org/markup-compatibility/2006">
          <mc:Choice Requires="x14">
            <control shapeId="1045" r:id="rId18" name="Label 21">
              <controlPr defaultSize="0" autoFill="0" autoLine="0" autoPict="0">
                <anchor moveWithCells="1" sizeWithCells="1">
                  <from>
                    <xdr:col>9</xdr:col>
                    <xdr:colOff>161925</xdr:colOff>
                    <xdr:row>25</xdr:row>
                    <xdr:rowOff>28575</xdr:rowOff>
                  </from>
                  <to>
                    <xdr:col>12</xdr:col>
                    <xdr:colOff>47625</xdr:colOff>
                    <xdr:row>26</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2" width="12.7109375" customWidth="1"/>
    <col min="33" max="33" width="44.28515625" customWidth="1"/>
    <col min="34" max="34" width="16.42578125" bestFit="1" customWidth="1"/>
    <col min="54" max="54" width="12.7109375" customWidth="1"/>
  </cols>
  <sheetData>
    <row r="1" spans="1:32" s="2" customFormat="1" x14ac:dyDescent="0.2">
      <c r="A1" s="2" t="s">
        <v>173</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188</v>
      </c>
      <c r="T1" s="2" t="s">
        <v>137</v>
      </c>
      <c r="U1" s="2" t="s">
        <v>9</v>
      </c>
      <c r="V1" s="2" t="s">
        <v>10</v>
      </c>
      <c r="W1" s="2" t="s">
        <v>139</v>
      </c>
      <c r="X1" s="2" t="s">
        <v>163</v>
      </c>
      <c r="Y1" s="2" t="s">
        <v>140</v>
      </c>
      <c r="Z1" s="2" t="s">
        <v>172</v>
      </c>
      <c r="AA1" s="2" t="s">
        <v>141</v>
      </c>
      <c r="AB1" s="2" t="s">
        <v>142</v>
      </c>
      <c r="AC1" s="2" t="s">
        <v>143</v>
      </c>
      <c r="AD1" s="2" t="s">
        <v>144</v>
      </c>
      <c r="AE1" s="2" t="s">
        <v>145</v>
      </c>
      <c r="AF1" s="2" t="s">
        <v>189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election activeCell="C153" sqref="C153:D177"/>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1</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2</v>
      </c>
      <c r="G9" s="4" t="s">
        <v>169</v>
      </c>
    </row>
    <row r="10" spans="3:11" x14ac:dyDescent="0.2">
      <c r="C10" s="5" t="s">
        <v>42</v>
      </c>
      <c r="D10">
        <v>2</v>
      </c>
      <c r="E10" s="8">
        <f>D10/D5</f>
        <v>2</v>
      </c>
      <c r="G10" s="58">
        <v>27</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5"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172</v>
      </c>
      <c r="D16">
        <f>IF($D$2=1,COUNTA(InputSheet!Z:Z)-1,"")</f>
        <v>0</v>
      </c>
      <c r="E16" s="7" t="e">
        <f t="shared" si="0"/>
        <v>#DIV/0!</v>
      </c>
    </row>
    <row r="17" spans="3:5" x14ac:dyDescent="0.2">
      <c r="C17" s="6" t="s">
        <v>135</v>
      </c>
      <c r="D17">
        <f>IF($D$2=1,COUNTA(InputSheet!Q:Q)-1,"")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5" spans="3:5" x14ac:dyDescent="0.2">
      <c r="C35" s="6" t="s">
        <v>188</v>
      </c>
      <c r="D35">
        <f>IF($D$2=1,COUNTA(InputSheet!S:S)-1,"")</f>
        <v>0</v>
      </c>
      <c r="E35"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174</v>
      </c>
      <c r="C116">
        <f>COUNTIF(InputSheet!H:H,"*Yukon*")</f>
        <v>0</v>
      </c>
    </row>
    <row r="117" spans="2:3" x14ac:dyDescent="0.2">
      <c r="B117" s="4" t="s">
        <v>175</v>
      </c>
      <c r="C117">
        <f>COUNTIF(InputSheet!H:H,"*Northwest Territories*")</f>
        <v>0</v>
      </c>
    </row>
    <row r="118" spans="2:3" x14ac:dyDescent="0.2">
      <c r="B118" s="4" t="s">
        <v>176</v>
      </c>
      <c r="C118">
        <f>COUNTIF(InputSheet!H:H,"*Nunavut*")</f>
        <v>0</v>
      </c>
    </row>
    <row r="119" spans="2:3" x14ac:dyDescent="0.2">
      <c r="B119" s="4" t="s">
        <v>177</v>
      </c>
      <c r="C119">
        <f>COUNTIF(InputSheet!H:H,"*British Columbia*")</f>
        <v>0</v>
      </c>
    </row>
    <row r="120" spans="2:3" x14ac:dyDescent="0.2">
      <c r="B120" s="4" t="s">
        <v>178</v>
      </c>
      <c r="C120">
        <f>COUNTIF(InputSheet!H:H,"*Alberta*")</f>
        <v>0</v>
      </c>
    </row>
    <row r="121" spans="2:3" x14ac:dyDescent="0.2">
      <c r="B121" s="4" t="s">
        <v>179</v>
      </c>
      <c r="C121">
        <f>COUNTIF(InputSheet!H:H,"*Saskatchewan*")</f>
        <v>0</v>
      </c>
    </row>
    <row r="122" spans="2:3" x14ac:dyDescent="0.2">
      <c r="B122" s="4" t="s">
        <v>180</v>
      </c>
      <c r="C122">
        <f>COUNTIF(InputSheet!H:H,"*Manitoba*")</f>
        <v>0</v>
      </c>
    </row>
    <row r="123" spans="2:3" x14ac:dyDescent="0.2">
      <c r="B123" s="4" t="s">
        <v>181</v>
      </c>
      <c r="C123">
        <f>COUNTIF(InputSheet!H:H,"*, Ontario*")</f>
        <v>0</v>
      </c>
    </row>
    <row r="124" spans="2:3" x14ac:dyDescent="0.2">
      <c r="B124" s="4" t="s">
        <v>182</v>
      </c>
      <c r="C124">
        <f>COUNTIF(InputSheet!H:H,"*, Quebec*")</f>
        <v>0</v>
      </c>
    </row>
    <row r="125" spans="2:3" x14ac:dyDescent="0.2">
      <c r="B125" s="4" t="s">
        <v>183</v>
      </c>
      <c r="C125">
        <f>COUNTIF(InputSheet!H:H,"*Newfoundland and Labrador*")</f>
        <v>0</v>
      </c>
    </row>
    <row r="126" spans="2:3" x14ac:dyDescent="0.2">
      <c r="B126" s="4" t="s">
        <v>184</v>
      </c>
      <c r="C126">
        <f>COUNTIF(InputSheet!H:H,"*Prince Edward Island*")</f>
        <v>0</v>
      </c>
    </row>
    <row r="127" spans="2:3" x14ac:dyDescent="0.2">
      <c r="B127" s="4" t="s">
        <v>185</v>
      </c>
      <c r="C127">
        <f>COUNTIF(InputSheet!H:H,"*New Brunswick*")</f>
        <v>0</v>
      </c>
    </row>
    <row r="128" spans="2:3" x14ac:dyDescent="0.2">
      <c r="B128" s="4" t="s">
        <v>186</v>
      </c>
      <c r="C128">
        <f>COUNTIF(InputSheet!H:H,"*Nova Scotia*")</f>
        <v>0</v>
      </c>
    </row>
    <row r="129" spans="2:11" x14ac:dyDescent="0.2">
      <c r="B129" s="2" t="s">
        <v>46</v>
      </c>
      <c r="C129" s="2">
        <f>SUM(C65:C128)</f>
        <v>0</v>
      </c>
    </row>
    <row r="130" spans="2:11" ht="18" x14ac:dyDescent="0.25">
      <c r="K130" s="15"/>
    </row>
    <row r="131" spans="2:11" x14ac:dyDescent="0.2">
      <c r="C131" s="4" t="s">
        <v>128</v>
      </c>
      <c r="D131" s="4" t="s">
        <v>186</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7" t="s">
        <v>155</v>
      </c>
    </row>
    <row r="153" spans="3:3" ht="33" x14ac:dyDescent="0.45">
      <c r="C153" s="48"/>
    </row>
    <row r="154" spans="3:3" ht="27" x14ac:dyDescent="0.35">
      <c r="C154" s="51"/>
    </row>
    <row r="155" spans="3:3" ht="33" x14ac:dyDescent="0.45">
      <c r="C155" s="49"/>
    </row>
    <row r="156" spans="3:3" ht="33" x14ac:dyDescent="0.45">
      <c r="C156" s="47"/>
    </row>
    <row r="157" spans="3:3" ht="27" x14ac:dyDescent="0.35">
      <c r="C157" s="50"/>
    </row>
    <row r="158" spans="3:3" ht="27" x14ac:dyDescent="0.35">
      <c r="C158" s="52"/>
    </row>
    <row r="159" spans="3:3" ht="23.25" x14ac:dyDescent="0.35">
      <c r="C159" s="33"/>
    </row>
    <row r="160" spans="3:3" ht="23.25" x14ac:dyDescent="0.35">
      <c r="C160" s="34"/>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15" x14ac:dyDescent="0.2">
      <c r="C176" s="43"/>
    </row>
    <row r="177" spans="3:11" ht="15" x14ac:dyDescent="0.2">
      <c r="C177" s="40"/>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53:D177">
    <sortCondition ref="C153"/>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1</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162</v>
      </c>
    </row>
    <row r="63" spans="2:15" ht="20.25" customHeight="1" x14ac:dyDescent="0.2">
      <c r="C63" s="61"/>
      <c r="D63" s="60"/>
      <c r="E63" s="60"/>
      <c r="F63" s="60"/>
      <c r="G63" s="60"/>
      <c r="H63" s="60"/>
      <c r="I63" s="60"/>
      <c r="J63" s="60"/>
      <c r="K63" s="60"/>
      <c r="L63" s="60"/>
      <c r="M63" s="60"/>
      <c r="N63" s="60"/>
    </row>
    <row r="64" spans="2:15" ht="12.75" customHeight="1" x14ac:dyDescent="0.2">
      <c r="C64" s="60"/>
      <c r="D64" s="60"/>
      <c r="E64" s="60"/>
      <c r="F64" s="60"/>
      <c r="G64" s="60"/>
      <c r="H64" s="60"/>
      <c r="I64" s="60"/>
      <c r="J64" s="60"/>
      <c r="K64" s="60"/>
      <c r="L64" s="60"/>
      <c r="M64" s="60"/>
      <c r="N64" s="60"/>
      <c r="O64" s="32"/>
    </row>
    <row r="65" spans="2:15" ht="12.75" customHeight="1" x14ac:dyDescent="0.2">
      <c r="C65" s="60"/>
      <c r="D65" s="60"/>
      <c r="E65" s="60"/>
      <c r="F65" s="60"/>
      <c r="G65" s="60"/>
      <c r="H65" s="60"/>
      <c r="I65" s="60"/>
      <c r="J65" s="60"/>
      <c r="K65" s="60"/>
      <c r="L65" s="60"/>
      <c r="M65" s="60"/>
      <c r="N65" s="60"/>
      <c r="O65" s="32"/>
    </row>
    <row r="66" spans="2:15" ht="12.75" customHeight="1" x14ac:dyDescent="0.2">
      <c r="C66" s="60"/>
      <c r="D66" s="60"/>
      <c r="E66" s="60"/>
      <c r="F66" s="60"/>
      <c r="G66" s="60"/>
      <c r="H66" s="60"/>
      <c r="I66" s="60"/>
      <c r="J66" s="60"/>
      <c r="K66" s="60"/>
      <c r="L66" s="60"/>
      <c r="M66" s="60"/>
      <c r="N66" s="60"/>
      <c r="O66" s="32"/>
    </row>
    <row r="67" spans="2:15" ht="12.75" customHeight="1" x14ac:dyDescent="0.2">
      <c r="C67" s="60"/>
      <c r="D67" s="60"/>
      <c r="E67" s="60"/>
      <c r="F67" s="60"/>
      <c r="G67" s="60"/>
      <c r="H67" s="60"/>
      <c r="I67" s="60"/>
      <c r="J67" s="60"/>
      <c r="K67" s="60"/>
      <c r="L67" s="60"/>
      <c r="M67" s="60"/>
      <c r="N67" s="60"/>
      <c r="O67" s="32"/>
    </row>
    <row r="68" spans="2:15" ht="12.75" customHeight="1" x14ac:dyDescent="0.2">
      <c r="C68" s="60"/>
      <c r="D68" s="60"/>
      <c r="E68" s="60"/>
      <c r="F68" s="60"/>
      <c r="G68" s="60"/>
      <c r="H68" s="60"/>
      <c r="I68" s="60"/>
      <c r="J68" s="60"/>
      <c r="K68" s="60"/>
      <c r="L68" s="60"/>
      <c r="M68" s="60"/>
      <c r="N68" s="60"/>
      <c r="O68" s="32"/>
    </row>
    <row r="69" spans="2:15" ht="12.75" customHeight="1" x14ac:dyDescent="0.2">
      <c r="C69" s="60"/>
      <c r="D69" s="60"/>
      <c r="E69" s="60"/>
      <c r="F69" s="60"/>
      <c r="G69" s="60"/>
      <c r="H69" s="60"/>
      <c r="I69" s="60"/>
      <c r="J69" s="60"/>
      <c r="K69" s="60"/>
      <c r="L69" s="60"/>
      <c r="M69" s="60"/>
      <c r="N69" s="60"/>
      <c r="O69" s="32"/>
    </row>
    <row r="70" spans="2:15" ht="12.75" customHeight="1" x14ac:dyDescent="0.2">
      <c r="C70" s="60"/>
      <c r="D70" s="60"/>
      <c r="E70" s="60"/>
      <c r="F70" s="60"/>
      <c r="G70" s="60"/>
      <c r="H70" s="60"/>
      <c r="I70" s="60"/>
      <c r="J70" s="60"/>
      <c r="K70" s="60"/>
      <c r="L70" s="60"/>
      <c r="M70" s="60"/>
      <c r="N70" s="60"/>
      <c r="O70" s="32"/>
    </row>
    <row r="71" spans="2:15" ht="12.75" customHeight="1" x14ac:dyDescent="0.2">
      <c r="C71" s="60"/>
      <c r="D71" s="60"/>
      <c r="E71" s="60"/>
      <c r="F71" s="60"/>
      <c r="G71" s="60"/>
      <c r="H71" s="60"/>
      <c r="I71" s="60"/>
      <c r="J71" s="60"/>
      <c r="K71" s="60"/>
      <c r="L71" s="60"/>
      <c r="M71" s="60"/>
      <c r="N71" s="60"/>
      <c r="O71" s="32"/>
    </row>
    <row r="72" spans="2:15" ht="12.75" customHeight="1" x14ac:dyDescent="0.2">
      <c r="C72" s="60"/>
      <c r="D72" s="60"/>
      <c r="E72" s="60"/>
      <c r="F72" s="60"/>
      <c r="G72" s="60"/>
      <c r="H72" s="60"/>
      <c r="I72" s="60"/>
      <c r="J72" s="60"/>
      <c r="K72" s="60"/>
      <c r="L72" s="60"/>
      <c r="M72" s="60"/>
      <c r="N72" s="60"/>
    </row>
    <row r="73" spans="2:15" ht="12.75" customHeight="1" x14ac:dyDescent="0.2">
      <c r="C73" s="60"/>
      <c r="D73" s="60"/>
      <c r="E73" s="60"/>
      <c r="F73" s="60"/>
      <c r="G73" s="60"/>
      <c r="H73" s="60"/>
      <c r="I73" s="60"/>
      <c r="J73" s="60"/>
      <c r="K73" s="60"/>
      <c r="L73" s="60"/>
      <c r="M73" s="60"/>
      <c r="N73" s="60"/>
    </row>
    <row r="74" spans="2:15" ht="12.75" customHeight="1" x14ac:dyDescent="0.2">
      <c r="C74" s="32"/>
      <c r="D74" s="32"/>
      <c r="E74" s="32"/>
      <c r="F74" s="32"/>
      <c r="G74" s="32"/>
      <c r="H74" s="32"/>
      <c r="I74" s="32"/>
      <c r="J74" s="32"/>
      <c r="K74" s="32"/>
      <c r="L74" s="32"/>
      <c r="M74" s="32"/>
      <c r="N74" s="32"/>
    </row>
    <row r="75" spans="2:15" x14ac:dyDescent="0.2">
      <c r="B75" s="56" t="s">
        <v>154</v>
      </c>
    </row>
    <row r="137" spans="15:16" x14ac:dyDescent="0.2">
      <c r="O137" s="65" t="s">
        <v>125</v>
      </c>
      <c r="P137" s="65"/>
    </row>
    <row r="138" spans="15:16" x14ac:dyDescent="0.2">
      <c r="O138" s="27" t="str">
        <f>CONCATENATE(Statistics!C137,"-",Statistics!C138-1)</f>
        <v>0--1</v>
      </c>
      <c r="P138" s="59"/>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187</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election activeCell="B9" sqref="B9"/>
    </sheetView>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 Todd</cp:lastModifiedBy>
  <cp:lastPrinted>2012-02-02T23:01:57Z</cp:lastPrinted>
  <dcterms:created xsi:type="dcterms:W3CDTF">2011-11-06T04:09:30Z</dcterms:created>
  <dcterms:modified xsi:type="dcterms:W3CDTF">2013-04-25T16:17:31Z</dcterms:modified>
</cp:coreProperties>
</file>