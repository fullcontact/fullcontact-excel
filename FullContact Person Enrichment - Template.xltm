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Begin!$H$17</definedName>
    <definedName name="fc_api_key">Begin!$H$13</definedName>
    <definedName name="fckey">Begin!$H$13</definedName>
    <definedName name="locationCount">Statistics!$C$116</definedName>
    <definedName name="merge">Report!$C$63:$N$73</definedName>
    <definedName name="Number_of_Seeding_Passes">Begin!$H$15</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B18" i="6" l="1"/>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6" i="3"/>
  <c r="D19" i="6" s="1"/>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C129" i="3"/>
  <c r="O113" i="6" s="1"/>
  <c r="E8" i="3"/>
  <c r="E31" i="3"/>
  <c r="F34" i="6" s="1"/>
  <c r="E32" i="3"/>
  <c r="F35" i="6" s="1"/>
  <c r="E16" i="3"/>
  <c r="F19" i="6" s="1"/>
  <c r="E50" i="3"/>
  <c r="E53" i="3" s="1"/>
  <c r="C125" i="3"/>
  <c r="O108" i="6" s="1"/>
  <c r="E52" i="3"/>
  <c r="E8" i="6"/>
  <c r="F8" i="6" s="1"/>
  <c r="C128" i="3"/>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C116" i="3"/>
  <c r="E56" i="3"/>
  <c r="D41" i="3"/>
  <c r="C126" i="3"/>
  <c r="C127" i="3"/>
  <c r="F7" i="6"/>
  <c r="F9" i="6"/>
  <c r="E55" i="3"/>
  <c r="E54" i="3" l="1"/>
  <c r="O112" i="6"/>
  <c r="E57" i="3"/>
  <c r="O111" i="6"/>
  <c r="O110" i="6"/>
  <c r="D120" i="3"/>
  <c r="O109" i="6"/>
</calcChain>
</file>

<file path=xl/sharedStrings.xml><?xml version="1.0" encoding="utf-8"?>
<sst xmlns="http://schemas.openxmlformats.org/spreadsheetml/2006/main" count="199" uniqueCount="175">
  <si>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</si>
  <si>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</si>
  <si>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</si>
  <si>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</si>
  <si>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</si>
  <si>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</si>
  <si>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</si>
  <si>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</si>
  <si>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</si>
  <si>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</si>
  <si>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</si>
  <si>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</si>
  <si>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</si>
  <si>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</si>
  <si>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</si>
  <si>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</si>
  <si>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</si>
  <si>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</si>
  <si>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</si>
  <si>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</si>
  <si>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</si>
  <si>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</si>
  <si>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</si>
  <si>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</si>
  <si>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</si>
  <si>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</si>
  <si>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</si>
  <si>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</si>
  <si>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</si>
  <si>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</si>
  <si>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</si>
  <si>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</si>
  <si>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</si>
  <si>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</si>
  <si>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</si>
  <si>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</si>
  <si>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</si>
  <si>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</si>
  <si>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</si>
  <si>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</si>
  <si>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</si>
  <si>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</si>
  <si>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</si>
  <si>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</si>
  <si>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</si>
  <si>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</si>
  <si>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</si>
  <si>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</si>
  <si>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</si>
  <si>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</si>
  <si>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</si>
  <si>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</si>
  <si>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</si>
  <si>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</si>
  <si>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</si>
  <si>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</si>
  <si>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</si>
  <si>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</si>
  <si>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</si>
  <si>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</si>
  <si>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</si>
  <si>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</si>
  <si>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</si>
  <si>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</si>
  <si>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</si>
  <si>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</si>
  <si>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</si>
  <si>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</si>
  <si>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</si>
  <si>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</si>
  <si>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</si>
  <si>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</si>
  <si>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</si>
  <si>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</si>
  <si>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</si>
  <si>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</si>
  <si>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</si>
  <si>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</si>
  <si>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</si>
  <si>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</si>
  <si>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</si>
  <si>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</si>
  <si>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</si>
  <si>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</si>
  <si>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</si>
  <si>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</si>
  <si>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</si>
  <si>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</si>
  <si>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</si>
  <si>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</si>
  <si>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</si>
  <si>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</si>
  <si>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</si>
  <si>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</si>
  <si>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</si>
  <si>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</si>
  <si>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</si>
  <si>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</si>
  <si>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</si>
  <si>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</si>
  <si>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</si>
  <si>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</si>
  <si>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</si>
  <si>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</si>
  <si>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</si>
  <si>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</si>
  <si>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</si>
  <si>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</si>
  <si>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</si>
  <si>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</si>
  <si>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</si>
  <si>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</si>
  <si>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</si>
  <si>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</si>
  <si>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</si>
  <si>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</si>
  <si>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</si>
  <si>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</si>
  <si>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</si>
  <si>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</si>
  <si>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</si>
  <si>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</si>
  <si>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</si>
  <si>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</si>
  <si>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</si>
  <si>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</si>
  <si>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</si>
  <si>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</si>
  <si>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</si>
  <si>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</si>
  <si>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</si>
  <si>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</si>
  <si>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</si>
  <si>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</si>
  <si>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</si>
  <si>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</si>
  <si>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</si>
  <si>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</si>
  <si>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</si>
  <si>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</si>
  <si>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</si>
  <si>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</si>
  <si>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</si>
  <si>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</si>
  <si>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</si>
  <si>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</si>
  <si>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</si>
  <si>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</si>
  <si>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</si>
  <si>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</si>
  <si>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</si>
  <si>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</si>
  <si>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</si>
  <si>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</si>
  <si>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</si>
  <si>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</si>
  <si>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</si>
  <si>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</si>
  <si>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</si>
  <si>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</si>
  <si>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</si>
  <si>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</si>
  <si>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</si>
  <si>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</si>
  <si>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</si>
  <si>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</si>
  <si>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</si>
  <si>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</si>
  <si>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</si>
  <si>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</si>
  <si>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</si>
  <si>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</si>
  <si>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</si>
  <si>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Phone Number</t>
  </si>
  <si>
    <t>The file will automatically save after every 50k email addresses are processed, as well as at the end.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</si>
</sst>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2"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16"/>
      <color indexed="10"/>
      <name val="Arial"/>
      <family val="2"/>
    </font>
    <font>
      <sz val="8"/>
      <color rgb="FF000000"/>
      <name val="Tahoma"/>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40"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28797952"/>
        <c:axId val="33854592"/>
      </c:barChart>
      <c:catAx>
        <c:axId val="28797952"/>
        <c:scaling>
          <c:orientation val="minMax"/>
        </c:scaling>
        <c:delete val="0"/>
        <c:axPos val="l"/>
        <c:majorTickMark val="out"/>
        <c:minorTickMark val="none"/>
        <c:tickLblPos val="nextTo"/>
        <c:crossAx val="33854592"/>
        <c:crosses val="autoZero"/>
        <c:auto val="1"/>
        <c:lblAlgn val="ctr"/>
        <c:lblOffset val="100"/>
        <c:tickLblSkip val="1"/>
        <c:noMultiLvlLbl val="0"/>
      </c:catAx>
      <c:valAx>
        <c:axId val="33854592"/>
        <c:scaling>
          <c:orientation val="minMax"/>
          <c:max val="1"/>
        </c:scaling>
        <c:delete val="0"/>
        <c:axPos val="b"/>
        <c:majorGridlines/>
        <c:numFmt formatCode="0%" sourceLinked="0"/>
        <c:majorTickMark val="out"/>
        <c:minorTickMark val="none"/>
        <c:tickLblPos val="nextTo"/>
        <c:crossAx val="2879795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76273152"/>
        <c:axId val="76274688"/>
      </c:barChart>
      <c:catAx>
        <c:axId val="76273152"/>
        <c:scaling>
          <c:orientation val="minMax"/>
        </c:scaling>
        <c:delete val="0"/>
        <c:axPos val="b"/>
        <c:majorTickMark val="out"/>
        <c:minorTickMark val="none"/>
        <c:tickLblPos val="nextTo"/>
        <c:crossAx val="76274688"/>
        <c:crosses val="autoZero"/>
        <c:auto val="1"/>
        <c:lblAlgn val="ctr"/>
        <c:lblOffset val="100"/>
        <c:noMultiLvlLbl val="0"/>
      </c:catAx>
      <c:valAx>
        <c:axId val="76274688"/>
        <c:scaling>
          <c:orientation val="minMax"/>
        </c:scaling>
        <c:delete val="0"/>
        <c:axPos val="l"/>
        <c:majorGridlines/>
        <c:numFmt formatCode="0.0%" sourceLinked="1"/>
        <c:majorTickMark val="out"/>
        <c:minorTickMark val="none"/>
        <c:tickLblPos val="nextTo"/>
        <c:crossAx val="7627315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132</v>
      </c>
      <c r="D2" s="4" t="s">
        <v>133</v>
      </c>
    </row>
    <row r="3" spans="3:10" x14ac:dyDescent="0.2">
      <c r="C3" t="s">
        <v>0</v>
      </c>
      <c r="D3" s="4" t="s">
        <v>162</v>
      </c>
    </row>
    <row r="4" spans="3:10" x14ac:dyDescent="0.2">
      <c r="C4" t="s">
        <v>1</v>
      </c>
      <c r="D4" t="s">
        <v>11</v>
      </c>
    </row>
    <row r="5" spans="3:10" x14ac:dyDescent="0.2">
      <c r="C5" t="s">
        <v>2</v>
      </c>
      <c r="D5" s="4" t="s">
        <v>158</v>
      </c>
    </row>
    <row r="6" spans="3:10" x14ac:dyDescent="0.2">
      <c r="C6" t="s">
        <v>12</v>
      </c>
      <c r="D6" t="s">
        <v>159</v>
      </c>
    </row>
    <row r="7" spans="3:10" x14ac:dyDescent="0.2">
      <c r="C7" t="s">
        <v>14</v>
      </c>
      <c r="D7" s="4" t="s">
        <v>59</v>
      </c>
    </row>
    <row r="8" spans="3:10" x14ac:dyDescent="0.2">
      <c r="C8" s="4" t="s">
        <v>54</v>
      </c>
      <c r="D8" t="s">
        <v>13</v>
      </c>
    </row>
    <row r="9" spans="3:10" x14ac:dyDescent="0.2">
      <c r="C9" s="4" t="s">
        <v>160</v>
      </c>
      <c r="D9" s="4" t="s">
        <v>55</v>
      </c>
    </row>
    <row r="10" spans="3:10" x14ac:dyDescent="0.2">
      <c r="C10" s="4" t="s">
        <v>161</v>
      </c>
      <c r="D10" s="4" t="s">
        <v>131</v>
      </c>
    </row>
    <row r="13" spans="3:10" ht="18" x14ac:dyDescent="0.25">
      <c r="G13" s="1" t="s">
        <v>16</v>
      </c>
      <c r="H13" s="61"/>
      <c r="I13" s="62"/>
      <c r="J13" s="63"/>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157</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173</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136</v>
      </c>
      <c r="R1" s="2" t="s">
        <v>137</v>
      </c>
      <c r="S1" s="2" t="s">
        <v>164</v>
      </c>
      <c r="T1" s="2" t="s">
        <v>138</v>
      </c>
      <c r="U1" s="2" t="s">
        <v>9</v>
      </c>
      <c r="V1" s="2" t="s">
        <v>10</v>
      </c>
      <c r="W1" s="2" t="s">
        <v>140</v>
      </c>
      <c r="X1" s="2" t="s">
        <v>164</v>
      </c>
      <c r="Y1" s="2" t="s">
        <v>141</v>
      </c>
      <c r="Z1" s="2" t="s">
        <v>164</v>
      </c>
      <c r="AA1" s="2" t="s">
        <v>142</v>
      </c>
      <c r="AB1" s="2" t="s">
        <v>143</v>
      </c>
      <c r="AC1" s="2" t="s">
        <v>144</v>
      </c>
      <c r="AD1" s="2" t="s">
        <v>145</v>
      </c>
      <c r="AE1" s="2" t="s">
        <v>146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topLeftCell="A4" zoomScale="85" zoomScaleNormal="85" workbookViewId="0">
      <selection activeCell="K11" sqref="K11"/>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172</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13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2</v>
      </c>
      <c r="G9" s="4" t="s">
        <v>170</v>
      </c>
    </row>
    <row r="10" spans="3:11" x14ac:dyDescent="0.2">
      <c r="C10" s="5" t="s">
        <v>42</v>
      </c>
      <c r="D10">
        <v>14</v>
      </c>
      <c r="E10" s="8">
        <f>D10/D5</f>
        <v>1.0769230769230769</v>
      </c>
      <c r="G10" s="59">
        <v>120</v>
      </c>
      <c r="H10" s="4" t="s">
        <v>171</v>
      </c>
    </row>
    <row r="11" spans="3:11" x14ac:dyDescent="0.2">
      <c r="C11" s="5"/>
    </row>
    <row r="12" spans="3:11" x14ac:dyDescent="0.2">
      <c r="C12" s="29" t="s">
        <v>152</v>
      </c>
      <c r="E12" s="30" t="s">
        <v>153</v>
      </c>
    </row>
    <row r="13" spans="3:11" x14ac:dyDescent="0.2">
      <c r="C13" s="6" t="s">
        <v>151</v>
      </c>
      <c r="D13">
        <f>IF($D$2=1,COUNTA(InputSheet!AE:AE)-1,"")</f>
        <v>0</v>
      </c>
      <c r="E13" s="7" t="e">
        <f t="shared" ref="E13:E34" si="0">D13/$D$3</f>
        <v>#DIV/0!</v>
      </c>
    </row>
    <row r="14" spans="3:11" x14ac:dyDescent="0.2">
      <c r="C14" s="6" t="s">
        <v>139</v>
      </c>
      <c r="D14">
        <f>IF($D$2=1,COUNTA(InputSheet!T:T)-1,"")</f>
        <v>0</v>
      </c>
      <c r="E14" s="7" t="e">
        <f t="shared" si="0"/>
        <v>#DIV/0!</v>
      </c>
    </row>
    <row r="15" spans="3:11" x14ac:dyDescent="0.2">
      <c r="C15" s="6" t="s">
        <v>150</v>
      </c>
      <c r="D15">
        <f>IF($D$2=1,COUNTA(InputSheet!AD:AD)-1,"")</f>
        <v>0</v>
      </c>
      <c r="E15" s="7" t="e">
        <f t="shared" si="0"/>
        <v>#DIV/0!</v>
      </c>
    </row>
    <row r="16" spans="3:11" x14ac:dyDescent="0.2">
      <c r="C16" s="6" t="s">
        <v>136</v>
      </c>
      <c r="D16">
        <f>IF($D$2=1,COUNTA(InputSheet!Q:Q)-1,"")</f>
        <v>0</v>
      </c>
      <c r="E16" s="7" t="e">
        <f t="shared" si="0"/>
        <v>#DIV/0!</v>
      </c>
    </row>
    <row r="17" spans="3:5" x14ac:dyDescent="0.2">
      <c r="C17" s="6" t="s">
        <v>164</v>
      </c>
      <c r="D17">
        <f>IF($D$2=1,COUNTA(InputSheet!S:S)-1,"")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149</v>
      </c>
      <c r="D22">
        <f>IF($D$2=1,COUNTA(InputSheet!AC:AC)-1,"")</f>
        <v>0</v>
      </c>
      <c r="E22" s="7" t="e">
        <f t="shared" si="0"/>
        <v>#DIV/0!</v>
      </c>
    </row>
    <row r="23" spans="3:5" x14ac:dyDescent="0.2">
      <c r="C23" s="6" t="s">
        <v>147</v>
      </c>
      <c r="D23">
        <f>IF($D$2=1,COUNTA(InputSheet!AA:AA)-1,"")</f>
        <v>0</v>
      </c>
      <c r="E23" s="7" t="e">
        <f t="shared" si="0"/>
        <v>#DIV/0!</v>
      </c>
    </row>
    <row r="24" spans="3:5" x14ac:dyDescent="0.2">
      <c r="C24" s="6" t="s">
        <v>15</v>
      </c>
      <c r="D24">
        <f>IF($D$2=1,COUNTA(InputSheet!N:N)-1,"")</f>
        <v>0</v>
      </c>
      <c r="E24" s="7" t="e">
        <f t="shared" si="0"/>
        <v>#DIV/0!</v>
      </c>
    </row>
    <row r="25" spans="3:5" x14ac:dyDescent="0.2">
      <c r="C25" s="6" t="s">
        <v>148</v>
      </c>
      <c r="D25">
        <f>IF($D$2=1,COUNTA(InputSheet!AB:AB)-1,"")</f>
        <v>0</v>
      </c>
      <c r="E25" s="7" t="e">
        <f t="shared" si="0"/>
        <v>#DIV/0!</v>
      </c>
    </row>
    <row r="26" spans="3:5" x14ac:dyDescent="0.2">
      <c r="C26" s="6" t="s">
        <v>137</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134</v>
      </c>
    </row>
    <row r="112" spans="2:6" x14ac:dyDescent="0.2">
      <c r="B112" s="4" t="s">
        <v>116</v>
      </c>
      <c r="C112">
        <f>COUNTIF(InputSheet!H:H,"*West Virginia*")</f>
        <v>0</v>
      </c>
    </row>
    <row r="113" spans="2:11" x14ac:dyDescent="0.2">
      <c r="B113" s="4" t="s">
        <v>105</v>
      </c>
      <c r="C113">
        <f>COUNTIF(InputSheet!H:H,"*Wisconsin*")</f>
        <v>0</v>
      </c>
    </row>
    <row r="114" spans="2:11" x14ac:dyDescent="0.2">
      <c r="B114" s="4" t="s">
        <v>106</v>
      </c>
      <c r="C114">
        <f>COUNTIF(InputSheet!H:H,"*Wyoming*")</f>
        <v>0</v>
      </c>
    </row>
    <row r="115" spans="2:11" x14ac:dyDescent="0.2">
      <c r="B115" s="4" t="s">
        <v>135</v>
      </c>
      <c r="C115">
        <f>COUNTIF(InputSheet!H:H,"*District of Columbia*")</f>
        <v>0</v>
      </c>
    </row>
    <row r="116" spans="2:11" x14ac:dyDescent="0.2">
      <c r="B116" s="2" t="s">
        <v>46</v>
      </c>
      <c r="C116" s="2">
        <f>SUM(C65:C115)</f>
        <v>0</v>
      </c>
    </row>
    <row r="117" spans="2:11" ht="18" x14ac:dyDescent="0.25">
      <c r="K117" s="15"/>
    </row>
    <row r="118" spans="2:11" x14ac:dyDescent="0.2">
      <c r="C118" s="4" t="s">
        <v>129</v>
      </c>
      <c r="D118" s="4" t="s">
        <v>135</v>
      </c>
      <c r="E118" s="4" t="s">
        <v>122</v>
      </c>
    </row>
    <row r="119" spans="2:11" x14ac:dyDescent="0.2">
      <c r="C119" s="4" t="s">
        <v>130</v>
      </c>
      <c r="D119" s="26">
        <f>VLOOKUP(actReg,regData,2,FALSE)</f>
        <v>0</v>
      </c>
      <c r="E119" s="4" t="s">
        <v>124</v>
      </c>
    </row>
    <row r="120" spans="2:11" x14ac:dyDescent="0.2">
      <c r="C120" s="4" t="s">
        <v>128</v>
      </c>
      <c r="D120" s="4" t="str">
        <f>VLOOKUP(actRegValue,classValues,2,TRUE)</f>
        <v>class5</v>
      </c>
      <c r="E120" s="4" t="s">
        <v>123</v>
      </c>
    </row>
    <row r="124" spans="2:11" x14ac:dyDescent="0.2">
      <c r="C124">
        <v>0</v>
      </c>
      <c r="D124" s="4" t="s">
        <v>126</v>
      </c>
    </row>
    <row r="125" spans="2:11" x14ac:dyDescent="0.2">
      <c r="C125">
        <f>ROUNDUP((MAX($C$65:$C$114)*0.1167),0)</f>
        <v>0</v>
      </c>
      <c r="D125" s="4" t="s">
        <v>117</v>
      </c>
    </row>
    <row r="126" spans="2:11" x14ac:dyDescent="0.2">
      <c r="C126">
        <f>ROUNDUP((MAX($C$65:$C$114)*0.334),0)</f>
        <v>0</v>
      </c>
      <c r="D126" s="4" t="s">
        <v>118</v>
      </c>
    </row>
    <row r="127" spans="2:11" x14ac:dyDescent="0.2">
      <c r="C127">
        <f>ROUNDUP((MAX($C$65:$C$114)*0.5),0)</f>
        <v>0</v>
      </c>
      <c r="D127" s="4" t="s">
        <v>119</v>
      </c>
    </row>
    <row r="128" spans="2:11" x14ac:dyDescent="0.2">
      <c r="C128">
        <f>ROUNDUP((MAX($C$65:$C$114)*0.667),0)</f>
        <v>0</v>
      </c>
      <c r="D128" s="4" t="s">
        <v>120</v>
      </c>
    </row>
    <row r="129" spans="3:6" x14ac:dyDescent="0.2">
      <c r="C129">
        <f>ROUNDUP((MAX($C$65:$C$114)*0.833),0)</f>
        <v>0</v>
      </c>
      <c r="D129" s="4" t="s">
        <v>121</v>
      </c>
    </row>
    <row r="131" spans="3:6" x14ac:dyDescent="0.2">
      <c r="F131" s="6"/>
    </row>
    <row r="138" spans="3:6" x14ac:dyDescent="0.2">
      <c r="C138" s="58" t="s">
        <v>156</v>
      </c>
    </row>
    <row r="140" spans="3:6" ht="33" x14ac:dyDescent="0.45">
      <c r="C140" s="47"/>
    </row>
    <row r="141" spans="3:6" ht="33" x14ac:dyDescent="0.45">
      <c r="C141" s="48"/>
    </row>
    <row r="142" spans="3:6" ht="33" x14ac:dyDescent="0.45">
      <c r="C142" s="49"/>
    </row>
    <row r="143" spans="3:6" ht="27" x14ac:dyDescent="0.35">
      <c r="C143" s="50"/>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169</v>
      </c>
      <c r="E6">
        <f>IF(Statistics!D2=1,Statistics!D5,"")</f>
        <v>13</v>
      </c>
    </row>
    <row r="7" spans="2:7" x14ac:dyDescent="0.2">
      <c r="B7" s="14" t="s">
        <v>166</v>
      </c>
      <c r="E7">
        <f>IF(Statistics!D2=1,Statistics!D3,"")</f>
        <v>0</v>
      </c>
      <c r="F7" s="7">
        <f>E7/E6</f>
        <v>0</v>
      </c>
    </row>
    <row r="8" spans="2:7" x14ac:dyDescent="0.2">
      <c r="B8" s="14" t="s">
        <v>167</v>
      </c>
      <c r="E8">
        <f>IF(Statistics!D2=1,Statistics!D7,"")</f>
        <v>0</v>
      </c>
      <c r="F8" s="7">
        <f>E8/E6</f>
        <v>0</v>
      </c>
    </row>
    <row r="9" spans="2:7" x14ac:dyDescent="0.2">
      <c r="B9" s="14" t="s">
        <v>168</v>
      </c>
      <c r="E9">
        <f>IF(Statistics!D2=1,Statistics!D8,"")</f>
        <v>0</v>
      </c>
      <c r="F9" s="7">
        <f>E9/E6</f>
        <v>0</v>
      </c>
    </row>
    <row r="12" spans="2:7" x14ac:dyDescent="0.2">
      <c r="B12" s="2" t="s">
        <v>165</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163</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155</v>
      </c>
    </row>
    <row r="107" spans="15:16" x14ac:dyDescent="0.2">
      <c r="O107" s="64" t="s">
        <v>125</v>
      </c>
      <c r="P107" s="64"/>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127</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154</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2012-05-04T17:35:44Z</dcterms:modified>
</cp:coreProperties>
</file>