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Statistics!$D$131</definedName>
    <definedName name="actRegCode">Statistics!$D$133</definedName>
    <definedName name="actRegValue">Statistics!$D$132</definedName>
    <definedName name="class0">Report!$P$138</definedName>
    <definedName name="class1">Report!$P$139</definedName>
    <definedName name="class2">Report!$P$140</definedName>
    <definedName name="class3">Report!$P$141</definedName>
    <definedName name="class4">Report!$P$142</definedName>
    <definedName name="class5">Report!$P$143</definedName>
    <definedName name="classValues">Statistics!$C$137:$D$142</definedName>
    <definedName name="Delay_between_Passes">Begin!$H$17</definedName>
    <definedName name="fc_api_key">Begin!$H$13</definedName>
    <definedName name="fckey">Begin!$H$13</definedName>
    <definedName name="locationCount">Statistics!$C$129</definedName>
    <definedName name="merge">Report!$C$63:$N$73</definedName>
    <definedName name="Northwest_Territories">"Freeform 81,Freeform 86,Freeform 83"</definedName>
    <definedName name="Number_of_Seeding_Passes">Begin!$H$15</definedName>
    <definedName name="old">Statistics!$C$138:$D$142</definedName>
    <definedName name="_xlnm.Print_Area" localSheetId="3">Report!$B$1:$Q$146</definedName>
    <definedName name="_xlnm.Print_Area" localSheetId="2">Statistics!$G$3:$X$131</definedName>
    <definedName name="regData">Statistics!$B$65:$C$128</definedName>
    <definedName name="tokenconcat">Report!$C$63</definedName>
    <definedName name="toptokenconcat">Report!$C$63</definedName>
    <definedName name="toptokencounts">Statistics!$C$153:$D$177</definedName>
    <definedName name="toptokens">Statistics!$C$153:$C$177</definedName>
  </definedNames>
  <calcPr calcId="145621"/>
</workbook>
</file>

<file path=xl/calcChain.xml><?xml version="1.0" encoding="utf-8"?>
<calcChain xmlns="http://schemas.openxmlformats.org/spreadsheetml/2006/main">
  <c r="D17" i="3" l="1"/>
  <c r="F38" i="6" l="1"/>
  <c r="D38" i="6"/>
  <c r="B38" i="6"/>
  <c r="E35" i="3"/>
  <c r="D35" i="3"/>
  <c r="D16" i="3" l="1"/>
  <c r="C142" i="3" l="1"/>
  <c r="C141" i="3"/>
  <c r="C140" i="3"/>
  <c r="C139" i="3"/>
  <c r="C138" i="3"/>
  <c r="C126" i="3" l="1"/>
  <c r="C124" i="3" l="1"/>
  <c r="C123" i="3"/>
  <c r="C128" i="3"/>
  <c r="C127" i="3"/>
  <c r="C125" i="3"/>
  <c r="C122" i="3"/>
  <c r="C121" i="3"/>
  <c r="C120" i="3"/>
  <c r="C119" i="3"/>
  <c r="C118" i="3"/>
  <c r="C117" i="3"/>
  <c r="C116" i="3"/>
  <c r="C129" i="3" l="1"/>
  <c r="B18" i="6"/>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20" i="6"/>
  <c r="D26" i="3"/>
  <c r="D29" i="6" s="1"/>
  <c r="D19" i="6"/>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32"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O143" i="6"/>
  <c r="E8" i="3"/>
  <c r="E31" i="3"/>
  <c r="F34" i="6" s="1"/>
  <c r="E32" i="3"/>
  <c r="F35" i="6" s="1"/>
  <c r="E16" i="3"/>
  <c r="F19" i="6" s="1"/>
  <c r="E50" i="3"/>
  <c r="E53" i="3" s="1"/>
  <c r="O138" i="6"/>
  <c r="E52" i="3"/>
  <c r="E8" i="6"/>
  <c r="F8" i="6" s="1"/>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E56" i="3"/>
  <c r="D41" i="3"/>
  <c r="F7" i="6"/>
  <c r="F9" i="6"/>
  <c r="E55" i="3"/>
  <c r="E54" i="3" l="1"/>
  <c r="O142" i="6"/>
  <c r="E57" i="3"/>
  <c r="O141" i="6"/>
  <c r="O140" i="6"/>
  <c r="D133" i="3"/>
  <c r="O139" i="6"/>
</calcChain>
</file>

<file path=xl/sharedStrings.xml><?xml version="1.0" encoding="utf-8"?>
<sst xmlns="http://schemas.openxmlformats.org/spreadsheetml/2006/main" count="214" uniqueCount="191">
  <si>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</si>
  <si>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</si>
  <si>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</si>
  <si>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</si>
  <si>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</si>
  <si>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</si>
  <si>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</si>
  <si>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</si>
  <si>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</si>
  <si>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</si>
  <si>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</si>
  <si>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</si>
  <si>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</si>
  <si>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</si>
  <si>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</si>
  <si>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</si>
  <si>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</si>
  <si>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</si>
  <si>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</si>
  <si>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</si>
  <si>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</si>
  <si>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</si>
  <si>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</si>
  <si>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</si>
  <si>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</si>
  <si>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</si>
  <si>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</si>
  <si>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</si>
  <si>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</si>
  <si>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</si>
  <si>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</si>
  <si>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</si>
  <si>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</si>
  <si>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</si>
  <si>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</si>
  <si>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</si>
  <si>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</si>
  <si>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</si>
  <si>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</si>
  <si>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</si>
  <si>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</si>
  <si>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</si>
  <si>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</si>
  <si>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</si>
  <si>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</si>
  <si>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</si>
  <si>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</si>
  <si>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</si>
  <si>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</si>
  <si>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</si>
  <si>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</si>
  <si>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</si>
  <si>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</si>
  <si>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</si>
  <si>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</si>
  <si>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</si>
  <si>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</si>
  <si>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</si>
  <si>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</si>
  <si>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</si>
  <si>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</si>
  <si>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</si>
  <si>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</si>
  <si>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</si>
  <si>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</si>
  <si>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</si>
  <si>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</si>
  <si>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</si>
  <si>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</si>
  <si>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</si>
  <si>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</si>
  <si>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</si>
  <si>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</si>
  <si>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</si>
  <si>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</si>
  <si>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</si>
  <si>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</si>
  <si>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</si>
  <si>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</si>
  <si>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</si>
  <si>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</si>
  <si>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</si>
  <si>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</si>
  <si>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</si>
  <si>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</si>
  <si>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</si>
  <si>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</si>
  <si>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</si>
  <si>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</si>
  <si>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</si>
  <si>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</si>
  <si>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</si>
  <si>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</si>
  <si>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</si>
  <si>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</si>
  <si>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</si>
  <si>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</si>
  <si>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</si>
  <si>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</si>
  <si>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</si>
  <si>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</si>
  <si>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</si>
  <si>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</si>
  <si>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</si>
  <si>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</si>
  <si>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</si>
  <si>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</si>
  <si>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</si>
  <si>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</si>
  <si>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</si>
  <si>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</si>
  <si>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</si>
  <si>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</si>
  <si>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</si>
  <si>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</si>
  <si>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</si>
  <si>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</si>
  <si>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</si>
  <si>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</si>
  <si>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</si>
  <si>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</si>
  <si>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</si>
  <si>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</si>
  <si>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</si>
  <si>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</si>
  <si>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</si>
  <si>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</si>
  <si>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</si>
  <si>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</si>
  <si>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</si>
  <si>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</si>
  <si>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</si>
  <si>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</si>
  <si>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</si>
  <si>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</si>
  <si>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</si>
  <si>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</si>
  <si>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</si>
  <si>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</si>
  <si>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</si>
  <si>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</si>
  <si>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</si>
  <si>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</si>
  <si>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</si>
  <si>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</si>
  <si>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</si>
  <si>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</si>
  <si>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</si>
  <si>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</si>
  <si>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</si>
  <si>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</si>
  <si>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</si>
  <si>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</si>
  <si>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</si>
  <si>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</si>
  <si>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</si>
  <si>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</si>
  <si>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</si>
  <si>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</si>
  <si>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</si>
  <si>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</si>
  <si>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</si>
  <si>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</si>
  <si>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</si>
  <si>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</si>
  <si>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</si>
  <si>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</si>
  <si>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</si>
  <si>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</si>
  <si>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</si>
  <si>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</si>
  <si>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</si>
  <si>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The file will automatically save after every 50k email addresses are processed, as well as at the end.</t>
  </si>
  <si>
    <t>Enhanced Data</t>
  </si>
  <si>
    <t>Email</t>
  </si>
  <si>
    <t>Yukon</t>
  </si>
  <si>
    <t>Northwest_Territories</t>
  </si>
  <si>
    <t>Nunavut</t>
  </si>
  <si>
    <t>British_Columbia</t>
  </si>
  <si>
    <t>Alberta</t>
  </si>
  <si>
    <t>Saskatchewan</t>
  </si>
  <si>
    <t>Manitoba</t>
  </si>
  <si>
    <t>Ontario</t>
  </si>
  <si>
    <t>Quebec</t>
  </si>
  <si>
    <t>Newfoundland_Labrador</t>
  </si>
  <si>
    <t>Prince_Edward_Island</t>
  </si>
  <si>
    <t>New_Brunswick</t>
  </si>
  <si>
    <t>Nova_scotia</t>
  </si>
  <si>
    <t>Heat Map - Approximate Matches in North America</t>
  </si>
  <si>
    <t>YouTube</t>
  </si>
  <si>
    <t>Likelihood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</si>
</sst>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9">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5F5F5"/>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6">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22" fillId="0" borderId="0" xfId="0" applyFont="1" applyAlignment="1">
      <alignment vertical="center" wrapText="1"/>
    </xf>
    <xf numFmtId="0" fontId="0" fillId="8" borderId="0" xfId="0" applyFill="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colors>
    <mruColors>
      <color rgb="FFF5F5F5"/>
      <color rgb="FFEAEAE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Report!$B$16:$B$38</c:f>
              <c:strCache>
                <c:ptCount val="23"/>
                <c:pt idx="0">
                  <c:v>Has IM</c:v>
                </c:pt>
                <c:pt idx="1">
                  <c:v>Google+</c:v>
                </c:pt>
                <c:pt idx="2">
                  <c:v>Has RSS</c:v>
                </c:pt>
                <c:pt idx="3">
                  <c:v>Enhanced Data</c:v>
                </c:pt>
                <c:pt idx="4">
                  <c:v>Klout</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pt idx="21">
                  <c:v>Gender</c:v>
                </c:pt>
                <c:pt idx="22">
                  <c:v>YouTube</c:v>
                </c:pt>
              </c:strCache>
            </c:strRef>
          </c:cat>
          <c:val>
            <c:numRef>
              <c:f>Report!$F$16:$F$38</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er>
        <c:dLbls>
          <c:showLegendKey val="0"/>
          <c:showVal val="0"/>
          <c:showCatName val="0"/>
          <c:showSerName val="0"/>
          <c:showPercent val="0"/>
          <c:showBubbleSize val="0"/>
        </c:dLbls>
        <c:gapWidth val="150"/>
        <c:axId val="59794560"/>
        <c:axId val="71642112"/>
      </c:barChart>
      <c:catAx>
        <c:axId val="59794560"/>
        <c:scaling>
          <c:orientation val="minMax"/>
        </c:scaling>
        <c:delete val="0"/>
        <c:axPos val="l"/>
        <c:majorTickMark val="out"/>
        <c:minorTickMark val="none"/>
        <c:tickLblPos val="nextTo"/>
        <c:crossAx val="71642112"/>
        <c:crosses val="autoZero"/>
        <c:auto val="1"/>
        <c:lblAlgn val="ctr"/>
        <c:lblOffset val="100"/>
        <c:tickLblSkip val="1"/>
        <c:noMultiLvlLbl val="0"/>
      </c:catAx>
      <c:valAx>
        <c:axId val="71642112"/>
        <c:scaling>
          <c:orientation val="minMax"/>
          <c:max val="1"/>
        </c:scaling>
        <c:delete val="0"/>
        <c:axPos val="b"/>
        <c:majorGridlines/>
        <c:numFmt formatCode="0%" sourceLinked="0"/>
        <c:majorTickMark val="out"/>
        <c:minorTickMark val="none"/>
        <c:tickLblPos val="nextTo"/>
        <c:crossAx val="597945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84764544"/>
        <c:axId val="84766080"/>
      </c:barChart>
      <c:catAx>
        <c:axId val="84764544"/>
        <c:scaling>
          <c:orientation val="minMax"/>
        </c:scaling>
        <c:delete val="0"/>
        <c:axPos val="b"/>
        <c:majorTickMark val="out"/>
        <c:minorTickMark val="none"/>
        <c:tickLblPos val="nextTo"/>
        <c:crossAx val="84766080"/>
        <c:crosses val="autoZero"/>
        <c:auto val="1"/>
        <c:lblAlgn val="ctr"/>
        <c:lblOffset val="100"/>
        <c:noMultiLvlLbl val="0"/>
      </c:catAx>
      <c:valAx>
        <c:axId val="84766080"/>
        <c:scaling>
          <c:orientation val="minMax"/>
        </c:scaling>
        <c:delete val="0"/>
        <c:axPos val="l"/>
        <c:majorGridlines/>
        <c:numFmt formatCode="0.0%" sourceLinked="1"/>
        <c:majorTickMark val="out"/>
        <c:minorTickMark val="none"/>
        <c:tickLblPos val="nextTo"/>
        <c:crossAx val="84764544"/>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95250</xdr:rowOff>
        </xdr:from>
        <xdr:to>
          <xdr:col>11</xdr:col>
          <xdr:colOff>238125</xdr:colOff>
          <xdr:row>25</xdr:row>
          <xdr:rowOff>104775</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111</xdr:row>
      <xdr:rowOff>39407</xdr:rowOff>
    </xdr:from>
    <xdr:to>
      <xdr:col>4</xdr:col>
      <xdr:colOff>152069</xdr:colOff>
      <xdr:row>115</xdr:row>
      <xdr:rowOff>115794</xdr:rowOff>
    </xdr:to>
    <xdr:sp macro="" textlink="">
      <xdr:nvSpPr>
        <xdr:cNvPr id="7" name="Washington"/>
        <xdr:cNvSpPr/>
      </xdr:nvSpPr>
      <xdr:spPr>
        <a:xfrm>
          <a:off x="1055823" y="186576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114</xdr:row>
      <xdr:rowOff>24279</xdr:rowOff>
    </xdr:from>
    <xdr:to>
      <xdr:col>4</xdr:col>
      <xdr:colOff>24702</xdr:colOff>
      <xdr:row>119</xdr:row>
      <xdr:rowOff>159124</xdr:rowOff>
    </xdr:to>
    <xdr:sp macro="" textlink="">
      <xdr:nvSpPr>
        <xdr:cNvPr id="8" name="Oregon"/>
        <xdr:cNvSpPr/>
      </xdr:nvSpPr>
      <xdr:spPr>
        <a:xfrm>
          <a:off x="806066" y="191377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118</xdr:row>
      <xdr:rowOff>81616</xdr:rowOff>
    </xdr:from>
    <xdr:to>
      <xdr:col>4</xdr:col>
      <xdr:colOff>43372</xdr:colOff>
      <xdr:row>130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119</xdr:row>
      <xdr:rowOff>82924</xdr:rowOff>
    </xdr:from>
    <xdr:to>
      <xdr:col>4</xdr:col>
      <xdr:colOff>315675</xdr:colOff>
      <xdr:row>127</xdr:row>
      <xdr:rowOff>145490</xdr:rowOff>
    </xdr:to>
    <xdr:sp macro="" textlink="">
      <xdr:nvSpPr>
        <xdr:cNvPr id="10" name="Nevada"/>
        <xdr:cNvSpPr/>
      </xdr:nvSpPr>
      <xdr:spPr>
        <a:xfrm>
          <a:off x="1257529" y="200219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112</xdr:row>
      <xdr:rowOff>83297</xdr:rowOff>
    </xdr:from>
    <xdr:to>
      <xdr:col>5</xdr:col>
      <xdr:colOff>149268</xdr:colOff>
      <xdr:row>120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112</xdr:row>
      <xdr:rowOff>111872</xdr:rowOff>
    </xdr:from>
    <xdr:to>
      <xdr:col>6</xdr:col>
      <xdr:colOff>448660</xdr:colOff>
      <xdr:row>118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117</xdr:row>
      <xdr:rowOff>127934</xdr:rowOff>
    </xdr:from>
    <xdr:to>
      <xdr:col>6</xdr:col>
      <xdr:colOff>384465</xdr:colOff>
      <xdr:row>122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120</xdr:row>
      <xdr:rowOff>112806</xdr:rowOff>
    </xdr:from>
    <xdr:to>
      <xdr:col>5</xdr:col>
      <xdr:colOff>299987</xdr:colOff>
      <xdr:row>126</xdr:row>
      <xdr:rowOff>92075</xdr:rowOff>
    </xdr:to>
    <xdr:sp macro="" textlink="">
      <xdr:nvSpPr>
        <xdr:cNvPr id="14" name="Utah"/>
        <xdr:cNvSpPr/>
      </xdr:nvSpPr>
      <xdr:spPr>
        <a:xfrm>
          <a:off x="2123459" y="202169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125</xdr:row>
      <xdr:rowOff>133350</xdr:rowOff>
    </xdr:from>
    <xdr:to>
      <xdr:col>5</xdr:col>
      <xdr:colOff>198634</xdr:colOff>
      <xdr:row>132</xdr:row>
      <xdr:rowOff>94879</xdr:rowOff>
    </xdr:to>
    <xdr:sp macro="" textlink="">
      <xdr:nvSpPr>
        <xdr:cNvPr id="15" name="Arizona"/>
        <xdr:cNvSpPr/>
      </xdr:nvSpPr>
      <xdr:spPr>
        <a:xfrm>
          <a:off x="1784766" y="210629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122</xdr:row>
      <xdr:rowOff>58271</xdr:rowOff>
    </xdr:from>
    <xdr:to>
      <xdr:col>7</xdr:col>
      <xdr:colOff>28804</xdr:colOff>
      <xdr:row>126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126</xdr:row>
      <xdr:rowOff>99919</xdr:rowOff>
    </xdr:from>
    <xdr:to>
      <xdr:col>6</xdr:col>
      <xdr:colOff>490135</xdr:colOff>
      <xdr:row>132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113</xdr:row>
      <xdr:rowOff>141754</xdr:rowOff>
    </xdr:from>
    <xdr:to>
      <xdr:col>8</xdr:col>
      <xdr:colOff>115090</xdr:colOff>
      <xdr:row>117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117</xdr:row>
      <xdr:rowOff>37727</xdr:rowOff>
    </xdr:from>
    <xdr:to>
      <xdr:col>8</xdr:col>
      <xdr:colOff>172985</xdr:colOff>
      <xdr:row>120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120</xdr:row>
      <xdr:rowOff>84231</xdr:rowOff>
    </xdr:from>
    <xdr:to>
      <xdr:col>8</xdr:col>
      <xdr:colOff>343690</xdr:colOff>
      <xdr:row>123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123</xdr:row>
      <xdr:rowOff>107203</xdr:rowOff>
    </xdr:from>
    <xdr:to>
      <xdr:col>8</xdr:col>
      <xdr:colOff>505615</xdr:colOff>
      <xdr:row>127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126</xdr:row>
      <xdr:rowOff>163232</xdr:rowOff>
    </xdr:from>
    <xdr:to>
      <xdr:col>8</xdr:col>
      <xdr:colOff>601285</xdr:colOff>
      <xdr:row>130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127</xdr:row>
      <xdr:rowOff>82176</xdr:rowOff>
    </xdr:from>
    <xdr:to>
      <xdr:col>9</xdr:col>
      <xdr:colOff>120417</xdr:colOff>
      <xdr:row>138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131</xdr:row>
      <xdr:rowOff>3362</xdr:rowOff>
    </xdr:from>
    <xdr:to>
      <xdr:col>4</xdr:col>
      <xdr:colOff>26375</xdr:colOff>
      <xdr:row>138</xdr:row>
      <xdr:rowOff>102721</xdr:rowOff>
    </xdr:to>
    <xdr:sp macro="" textlink="">
      <xdr:nvSpPr>
        <xdr:cNvPr id="24" name="Alaska"/>
        <xdr:cNvSpPr/>
      </xdr:nvSpPr>
      <xdr:spPr>
        <a:xfrm>
          <a:off x="304800" y="219235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140</xdr:row>
      <xdr:rowOff>57709</xdr:rowOff>
    </xdr:from>
    <xdr:to>
      <xdr:col>3</xdr:col>
      <xdr:colOff>39970</xdr:colOff>
      <xdr:row>142</xdr:row>
      <xdr:rowOff>88899</xdr:rowOff>
    </xdr:to>
    <xdr:grpSp>
      <xdr:nvGrpSpPr>
        <xdr:cNvPr id="25" name="Hawaii"/>
        <xdr:cNvGrpSpPr/>
      </xdr:nvGrpSpPr>
      <xdr:grpSpPr>
        <a:xfrm>
          <a:off x="868124" y="22335003"/>
          <a:ext cx="494140" cy="344955"/>
          <a:chOff x="3852863" y="15211425"/>
          <a:chExt cx="503104" cy="371475"/>
        </a:xfrm>
        <a:solidFill>
          <a:srgbClr val="EAEAEA"/>
        </a:solidFill>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130</xdr:row>
      <xdr:rowOff>142969</xdr:rowOff>
    </xdr:from>
    <xdr:to>
      <xdr:col>10</xdr:col>
      <xdr:colOff>220425</xdr:colOff>
      <xdr:row>135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131</xdr:row>
      <xdr:rowOff>120799</xdr:rowOff>
    </xdr:from>
    <xdr:to>
      <xdr:col>12</xdr:col>
      <xdr:colOff>501973</xdr:colOff>
      <xdr:row>137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127</xdr:row>
      <xdr:rowOff>2895</xdr:rowOff>
    </xdr:from>
    <xdr:to>
      <xdr:col>10</xdr:col>
      <xdr:colOff>1099</xdr:colOff>
      <xdr:row>131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122</xdr:row>
      <xdr:rowOff>129709</xdr:rowOff>
    </xdr:from>
    <xdr:to>
      <xdr:col>10</xdr:col>
      <xdr:colOff>82313</xdr:colOff>
      <xdr:row>127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119</xdr:row>
      <xdr:rowOff>73399</xdr:rowOff>
    </xdr:from>
    <xdr:to>
      <xdr:col>9</xdr:col>
      <xdr:colOff>420368</xdr:colOff>
      <xdr:row>122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113</xdr:row>
      <xdr:rowOff>61072</xdr:rowOff>
    </xdr:from>
    <xdr:to>
      <xdr:col>9</xdr:col>
      <xdr:colOff>324920</xdr:colOff>
      <xdr:row>119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115</xdr:row>
      <xdr:rowOff>139607</xdr:rowOff>
    </xdr:from>
    <xdr:to>
      <xdr:col>10</xdr:col>
      <xdr:colOff>134700</xdr:colOff>
      <xdr:row>120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114</xdr:row>
      <xdr:rowOff>128775</xdr:rowOff>
    </xdr:from>
    <xdr:to>
      <xdr:col>11</xdr:col>
      <xdr:colOff>206617</xdr:colOff>
      <xdr:row>120</xdr:row>
      <xdr:rowOff>122331</xdr:rowOff>
    </xdr:to>
    <xdr:grpSp>
      <xdr:nvGrpSpPr>
        <xdr:cNvPr id="37" name="Michigan"/>
        <xdr:cNvGrpSpPr/>
      </xdr:nvGrpSpPr>
      <xdr:grpSpPr>
        <a:xfrm>
          <a:off x="5225532" y="18327128"/>
          <a:ext cx="1144320" cy="934850"/>
          <a:chOff x="8667750" y="11206163"/>
          <a:chExt cx="1162249" cy="1014412"/>
        </a:xfrm>
        <a:solidFill>
          <a:srgbClr val="F5F5F5"/>
        </a:solidFill>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120</xdr:row>
      <xdr:rowOff>17556</xdr:rowOff>
    </xdr:from>
    <xdr:to>
      <xdr:col>10</xdr:col>
      <xdr:colOff>258525</xdr:colOff>
      <xdr:row>126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120</xdr:row>
      <xdr:rowOff>79469</xdr:rowOff>
    </xdr:from>
    <xdr:to>
      <xdr:col>11</xdr:col>
      <xdr:colOff>29925</xdr:colOff>
      <xdr:row>125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119</xdr:row>
      <xdr:rowOff>73399</xdr:rowOff>
    </xdr:from>
    <xdr:to>
      <xdr:col>11</xdr:col>
      <xdr:colOff>554639</xdr:colOff>
      <xdr:row>123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128</xdr:row>
      <xdr:rowOff>66115</xdr:rowOff>
    </xdr:from>
    <xdr:to>
      <xdr:col>10</xdr:col>
      <xdr:colOff>301388</xdr:colOff>
      <xdr:row>133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127</xdr:row>
      <xdr:rowOff>159778</xdr:rowOff>
    </xdr:from>
    <xdr:to>
      <xdr:col>11</xdr:col>
      <xdr:colOff>206954</xdr:colOff>
      <xdr:row>133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127</xdr:row>
      <xdr:rowOff>68725</xdr:rowOff>
    </xdr:from>
    <xdr:to>
      <xdr:col>12</xdr:col>
      <xdr:colOff>182885</xdr:colOff>
      <xdr:row>132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126</xdr:row>
      <xdr:rowOff>139420</xdr:rowOff>
    </xdr:from>
    <xdr:to>
      <xdr:col>12</xdr:col>
      <xdr:colOff>478160</xdr:colOff>
      <xdr:row>130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125</xdr:row>
      <xdr:rowOff>90768</xdr:rowOff>
    </xdr:from>
    <xdr:to>
      <xdr:col>11</xdr:col>
      <xdr:colOff>525506</xdr:colOff>
      <xdr:row>128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123</xdr:row>
      <xdr:rowOff>54816</xdr:rowOff>
    </xdr:from>
    <xdr:to>
      <xdr:col>11</xdr:col>
      <xdr:colOff>439781</xdr:colOff>
      <xdr:row>126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123</xdr:row>
      <xdr:rowOff>164073</xdr:rowOff>
    </xdr:from>
    <xdr:to>
      <xdr:col>13</xdr:col>
      <xdr:colOff>202216</xdr:colOff>
      <xdr:row>127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121</xdr:row>
      <xdr:rowOff>95063</xdr:rowOff>
    </xdr:from>
    <xdr:to>
      <xdr:col>13</xdr:col>
      <xdr:colOff>140303</xdr:colOff>
      <xdr:row>125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121</xdr:row>
      <xdr:rowOff>47438</xdr:rowOff>
    </xdr:from>
    <xdr:to>
      <xdr:col>12</xdr:col>
      <xdr:colOff>378416</xdr:colOff>
      <xdr:row>124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118</xdr:row>
      <xdr:rowOff>10459</xdr:rowOff>
    </xdr:from>
    <xdr:to>
      <xdr:col>13</xdr:col>
      <xdr:colOff>110607</xdr:colOff>
      <xdr:row>121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120</xdr:row>
      <xdr:rowOff>103281</xdr:rowOff>
    </xdr:from>
    <xdr:to>
      <xdr:col>13</xdr:col>
      <xdr:colOff>155722</xdr:colOff>
      <xdr:row>122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118</xdr:row>
      <xdr:rowOff>100666</xdr:rowOff>
    </xdr:from>
    <xdr:to>
      <xdr:col>13</xdr:col>
      <xdr:colOff>236378</xdr:colOff>
      <xdr:row>121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114</xdr:row>
      <xdr:rowOff>57617</xdr:rowOff>
    </xdr:from>
    <xdr:to>
      <xdr:col>13</xdr:col>
      <xdr:colOff>430816</xdr:colOff>
      <xdr:row>119</xdr:row>
      <xdr:rowOff>44824</xdr:rowOff>
    </xdr:to>
    <xdr:grpSp>
      <xdr:nvGrpSpPr>
        <xdr:cNvPr id="55" name="New_York"/>
        <xdr:cNvGrpSpPr/>
      </xdr:nvGrpSpPr>
      <xdr:grpSpPr>
        <a:xfrm>
          <a:off x="6707791" y="18255970"/>
          <a:ext cx="1096496" cy="771619"/>
          <a:chOff x="10167938" y="11129963"/>
          <a:chExt cx="1114425" cy="842962"/>
        </a:xfrm>
        <a:solidFill>
          <a:srgbClr val="F5F5F5"/>
        </a:solidFill>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113</xdr:row>
      <xdr:rowOff>146517</xdr:rowOff>
    </xdr:from>
    <xdr:to>
      <xdr:col>13</xdr:col>
      <xdr:colOff>278416</xdr:colOff>
      <xdr:row>116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117</xdr:row>
      <xdr:rowOff>13915</xdr:rowOff>
    </xdr:from>
    <xdr:to>
      <xdr:col>13</xdr:col>
      <xdr:colOff>430816</xdr:colOff>
      <xdr:row>118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116</xdr:row>
      <xdr:rowOff>159965</xdr:rowOff>
    </xdr:from>
    <xdr:to>
      <xdr:col>13</xdr:col>
      <xdr:colOff>516088</xdr:colOff>
      <xdr:row>117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115</xdr:row>
      <xdr:rowOff>144369</xdr:rowOff>
    </xdr:from>
    <xdr:to>
      <xdr:col>14</xdr:col>
      <xdr:colOff>55698</xdr:colOff>
      <xdr:row>117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113</xdr:row>
      <xdr:rowOff>75360</xdr:rowOff>
    </xdr:from>
    <xdr:to>
      <xdr:col>13</xdr:col>
      <xdr:colOff>464153</xdr:colOff>
      <xdr:row>116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110</xdr:row>
      <xdr:rowOff>76200</xdr:rowOff>
    </xdr:from>
    <xdr:to>
      <xdr:col>14</xdr:col>
      <xdr:colOff>183876</xdr:colOff>
      <xdr:row>115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121</xdr:row>
      <xdr:rowOff>153340</xdr:rowOff>
    </xdr:from>
    <xdr:to>
      <xdr:col>12</xdr:col>
      <xdr:colOff>540346</xdr:colOff>
      <xdr:row>122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120</xdr:row>
      <xdr:rowOff>101600</xdr:rowOff>
    </xdr:from>
    <xdr:to>
      <xdr:col>13</xdr:col>
      <xdr:colOff>170143</xdr:colOff>
      <xdr:row>122</xdr:row>
      <xdr:rowOff>4194</xdr:rowOff>
    </xdr:to>
    <xdr:sp macro="" textlink="">
      <xdr:nvSpPr>
        <xdr:cNvPr id="69" name="Delaware"/>
        <xdr:cNvSpPr/>
      </xdr:nvSpPr>
      <xdr:spPr>
        <a:xfrm>
          <a:off x="7442200" y="202057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96</xdr:row>
      <xdr:rowOff>31745</xdr:rowOff>
    </xdr:from>
    <xdr:to>
      <xdr:col>4</xdr:col>
      <xdr:colOff>473108</xdr:colOff>
      <xdr:row>112</xdr:row>
      <xdr:rowOff>152400</xdr:rowOff>
    </xdr:to>
    <xdr:grpSp>
      <xdr:nvGrpSpPr>
        <xdr:cNvPr id="71" name="British_Columbia"/>
        <xdr:cNvGrpSpPr/>
      </xdr:nvGrpSpPr>
      <xdr:grpSpPr>
        <a:xfrm>
          <a:off x="683559" y="15406216"/>
          <a:ext cx="1716961" cy="2630772"/>
          <a:chOff x="685800" y="16173445"/>
          <a:chExt cx="1730408" cy="2762255"/>
        </a:xfrm>
        <a:solidFill>
          <a:srgbClr val="F5F5F5"/>
        </a:solidFill>
      </xdr:grpSpPr>
      <xdr:sp macro="" textlink="">
        <xdr:nvSpPr>
          <xdr:cNvPr id="5" name="Freeform 4"/>
          <xdr:cNvSpPr/>
        </xdr:nvSpPr>
        <xdr:spPr>
          <a:xfrm>
            <a:off x="824405" y="16173445"/>
            <a:ext cx="1591803" cy="2762255"/>
          </a:xfrm>
          <a:custGeom>
            <a:avLst/>
            <a:gdLst>
              <a:gd name="connsiteX0" fmla="*/ 1095 w 1591803"/>
              <a:gd name="connsiteY0" fmla="*/ 6355 h 2762255"/>
              <a:gd name="connsiteX1" fmla="*/ 26495 w 1591803"/>
              <a:gd name="connsiteY1" fmla="*/ 171455 h 2762255"/>
              <a:gd name="connsiteX2" fmla="*/ 39195 w 1591803"/>
              <a:gd name="connsiteY2" fmla="*/ 222255 h 2762255"/>
              <a:gd name="connsiteX3" fmla="*/ 191595 w 1591803"/>
              <a:gd name="connsiteY3" fmla="*/ 209555 h 2762255"/>
              <a:gd name="connsiteX4" fmla="*/ 216995 w 1591803"/>
              <a:gd name="connsiteY4" fmla="*/ 247655 h 2762255"/>
              <a:gd name="connsiteX5" fmla="*/ 242395 w 1591803"/>
              <a:gd name="connsiteY5" fmla="*/ 336555 h 2762255"/>
              <a:gd name="connsiteX6" fmla="*/ 267795 w 1591803"/>
              <a:gd name="connsiteY6" fmla="*/ 412755 h 2762255"/>
              <a:gd name="connsiteX7" fmla="*/ 280495 w 1591803"/>
              <a:gd name="connsiteY7" fmla="*/ 450855 h 2762255"/>
              <a:gd name="connsiteX8" fmla="*/ 267795 w 1591803"/>
              <a:gd name="connsiteY8" fmla="*/ 654055 h 2762255"/>
              <a:gd name="connsiteX9" fmla="*/ 267795 w 1591803"/>
              <a:gd name="connsiteY9" fmla="*/ 882655 h 2762255"/>
              <a:gd name="connsiteX10" fmla="*/ 280495 w 1591803"/>
              <a:gd name="connsiteY10" fmla="*/ 920755 h 2762255"/>
              <a:gd name="connsiteX11" fmla="*/ 318595 w 1591803"/>
              <a:gd name="connsiteY11" fmla="*/ 946155 h 2762255"/>
              <a:gd name="connsiteX12" fmla="*/ 343995 w 1591803"/>
              <a:gd name="connsiteY12" fmla="*/ 1022355 h 2762255"/>
              <a:gd name="connsiteX13" fmla="*/ 356695 w 1591803"/>
              <a:gd name="connsiteY13" fmla="*/ 1060455 h 2762255"/>
              <a:gd name="connsiteX14" fmla="*/ 305895 w 1591803"/>
              <a:gd name="connsiteY14" fmla="*/ 1123955 h 2762255"/>
              <a:gd name="connsiteX15" fmla="*/ 242395 w 1591803"/>
              <a:gd name="connsiteY15" fmla="*/ 1187455 h 2762255"/>
              <a:gd name="connsiteX16" fmla="*/ 216995 w 1591803"/>
              <a:gd name="connsiteY16" fmla="*/ 1263655 h 2762255"/>
              <a:gd name="connsiteX17" fmla="*/ 204295 w 1591803"/>
              <a:gd name="connsiteY17" fmla="*/ 1301755 h 2762255"/>
              <a:gd name="connsiteX18" fmla="*/ 216995 w 1591803"/>
              <a:gd name="connsiteY18" fmla="*/ 1390655 h 2762255"/>
              <a:gd name="connsiteX19" fmla="*/ 204295 w 1591803"/>
              <a:gd name="connsiteY19" fmla="*/ 1593855 h 2762255"/>
              <a:gd name="connsiteX20" fmla="*/ 216995 w 1591803"/>
              <a:gd name="connsiteY20" fmla="*/ 1631955 h 2762255"/>
              <a:gd name="connsiteX21" fmla="*/ 255095 w 1591803"/>
              <a:gd name="connsiteY21" fmla="*/ 1657355 h 2762255"/>
              <a:gd name="connsiteX22" fmla="*/ 242395 w 1591803"/>
              <a:gd name="connsiteY22" fmla="*/ 1911355 h 2762255"/>
              <a:gd name="connsiteX23" fmla="*/ 204295 w 1591803"/>
              <a:gd name="connsiteY23" fmla="*/ 1924055 h 2762255"/>
              <a:gd name="connsiteX24" fmla="*/ 242395 w 1591803"/>
              <a:gd name="connsiteY24" fmla="*/ 1936755 h 2762255"/>
              <a:gd name="connsiteX25" fmla="*/ 305895 w 1591803"/>
              <a:gd name="connsiteY25" fmla="*/ 2000255 h 2762255"/>
              <a:gd name="connsiteX26" fmla="*/ 343995 w 1591803"/>
              <a:gd name="connsiteY26" fmla="*/ 2076455 h 2762255"/>
              <a:gd name="connsiteX27" fmla="*/ 382095 w 1591803"/>
              <a:gd name="connsiteY27" fmla="*/ 2101855 h 2762255"/>
              <a:gd name="connsiteX28" fmla="*/ 432895 w 1591803"/>
              <a:gd name="connsiteY28" fmla="*/ 2216155 h 2762255"/>
              <a:gd name="connsiteX29" fmla="*/ 470995 w 1591803"/>
              <a:gd name="connsiteY29" fmla="*/ 2241555 h 2762255"/>
              <a:gd name="connsiteX30" fmla="*/ 572595 w 1591803"/>
              <a:gd name="connsiteY30" fmla="*/ 2393955 h 2762255"/>
              <a:gd name="connsiteX31" fmla="*/ 636095 w 1591803"/>
              <a:gd name="connsiteY31" fmla="*/ 2482855 h 2762255"/>
              <a:gd name="connsiteX32" fmla="*/ 750395 w 1591803"/>
              <a:gd name="connsiteY32" fmla="*/ 2533655 h 2762255"/>
              <a:gd name="connsiteX33" fmla="*/ 788495 w 1591803"/>
              <a:gd name="connsiteY33" fmla="*/ 2546355 h 2762255"/>
              <a:gd name="connsiteX34" fmla="*/ 826595 w 1591803"/>
              <a:gd name="connsiteY34" fmla="*/ 2559055 h 2762255"/>
              <a:gd name="connsiteX35" fmla="*/ 928195 w 1591803"/>
              <a:gd name="connsiteY35" fmla="*/ 2584455 h 2762255"/>
              <a:gd name="connsiteX36" fmla="*/ 1042495 w 1591803"/>
              <a:gd name="connsiteY36" fmla="*/ 2622555 h 2762255"/>
              <a:gd name="connsiteX37" fmla="*/ 1080595 w 1591803"/>
              <a:gd name="connsiteY37" fmla="*/ 2635255 h 2762255"/>
              <a:gd name="connsiteX38" fmla="*/ 1118695 w 1591803"/>
              <a:gd name="connsiteY38" fmla="*/ 2647955 h 2762255"/>
              <a:gd name="connsiteX39" fmla="*/ 1156795 w 1591803"/>
              <a:gd name="connsiteY39" fmla="*/ 2673355 h 2762255"/>
              <a:gd name="connsiteX40" fmla="*/ 1194895 w 1591803"/>
              <a:gd name="connsiteY40" fmla="*/ 2686055 h 2762255"/>
              <a:gd name="connsiteX41" fmla="*/ 1321895 w 1591803"/>
              <a:gd name="connsiteY41" fmla="*/ 2711455 h 2762255"/>
              <a:gd name="connsiteX42" fmla="*/ 1461595 w 1591803"/>
              <a:gd name="connsiteY42" fmla="*/ 2749555 h 2762255"/>
              <a:gd name="connsiteX43" fmla="*/ 1537795 w 1591803"/>
              <a:gd name="connsiteY43" fmla="*/ 2762255 h 2762255"/>
              <a:gd name="connsiteX44" fmla="*/ 1588595 w 1591803"/>
              <a:gd name="connsiteY44" fmla="*/ 2749555 h 2762255"/>
              <a:gd name="connsiteX45" fmla="*/ 1575895 w 1591803"/>
              <a:gd name="connsiteY45" fmla="*/ 2673355 h 2762255"/>
              <a:gd name="connsiteX46" fmla="*/ 1550495 w 1591803"/>
              <a:gd name="connsiteY46" fmla="*/ 2597155 h 2762255"/>
              <a:gd name="connsiteX47" fmla="*/ 1525095 w 1591803"/>
              <a:gd name="connsiteY47" fmla="*/ 2520955 h 2762255"/>
              <a:gd name="connsiteX48" fmla="*/ 1499695 w 1591803"/>
              <a:gd name="connsiteY48" fmla="*/ 2482855 h 2762255"/>
              <a:gd name="connsiteX49" fmla="*/ 1486995 w 1591803"/>
              <a:gd name="connsiteY49" fmla="*/ 2444755 h 2762255"/>
              <a:gd name="connsiteX50" fmla="*/ 1461595 w 1591803"/>
              <a:gd name="connsiteY50" fmla="*/ 2406655 h 2762255"/>
              <a:gd name="connsiteX51" fmla="*/ 1423495 w 1591803"/>
              <a:gd name="connsiteY51" fmla="*/ 2292355 h 2762255"/>
              <a:gd name="connsiteX52" fmla="*/ 1410795 w 1591803"/>
              <a:gd name="connsiteY52" fmla="*/ 2254255 h 2762255"/>
              <a:gd name="connsiteX53" fmla="*/ 1385395 w 1591803"/>
              <a:gd name="connsiteY53" fmla="*/ 2203455 h 2762255"/>
              <a:gd name="connsiteX54" fmla="*/ 1359995 w 1591803"/>
              <a:gd name="connsiteY54" fmla="*/ 2127255 h 2762255"/>
              <a:gd name="connsiteX55" fmla="*/ 1334595 w 1591803"/>
              <a:gd name="connsiteY55" fmla="*/ 2051055 h 2762255"/>
              <a:gd name="connsiteX56" fmla="*/ 1232995 w 1591803"/>
              <a:gd name="connsiteY56" fmla="*/ 1962155 h 2762255"/>
              <a:gd name="connsiteX57" fmla="*/ 1169495 w 1591803"/>
              <a:gd name="connsiteY57" fmla="*/ 1885955 h 2762255"/>
              <a:gd name="connsiteX58" fmla="*/ 1156795 w 1591803"/>
              <a:gd name="connsiteY58" fmla="*/ 1847855 h 2762255"/>
              <a:gd name="connsiteX59" fmla="*/ 1169495 w 1591803"/>
              <a:gd name="connsiteY59" fmla="*/ 1733555 h 2762255"/>
              <a:gd name="connsiteX60" fmla="*/ 1194895 w 1591803"/>
              <a:gd name="connsiteY60" fmla="*/ 1657355 h 2762255"/>
              <a:gd name="connsiteX61" fmla="*/ 1207595 w 1591803"/>
              <a:gd name="connsiteY61" fmla="*/ 1619255 h 2762255"/>
              <a:gd name="connsiteX62" fmla="*/ 1245695 w 1591803"/>
              <a:gd name="connsiteY62" fmla="*/ 1543055 h 2762255"/>
              <a:gd name="connsiteX63" fmla="*/ 1271095 w 1591803"/>
              <a:gd name="connsiteY63" fmla="*/ 1403355 h 2762255"/>
              <a:gd name="connsiteX64" fmla="*/ 1296495 w 1591803"/>
              <a:gd name="connsiteY64" fmla="*/ 1327155 h 2762255"/>
              <a:gd name="connsiteX65" fmla="*/ 1321895 w 1591803"/>
              <a:gd name="connsiteY65" fmla="*/ 1250955 h 2762255"/>
              <a:gd name="connsiteX66" fmla="*/ 1334595 w 1591803"/>
              <a:gd name="connsiteY66" fmla="*/ 1200155 h 2762255"/>
              <a:gd name="connsiteX67" fmla="*/ 1347295 w 1591803"/>
              <a:gd name="connsiteY67" fmla="*/ 1162055 h 2762255"/>
              <a:gd name="connsiteX68" fmla="*/ 1359995 w 1591803"/>
              <a:gd name="connsiteY68" fmla="*/ 1098555 h 2762255"/>
              <a:gd name="connsiteX69" fmla="*/ 1385395 w 1591803"/>
              <a:gd name="connsiteY69" fmla="*/ 1022355 h 2762255"/>
              <a:gd name="connsiteX70" fmla="*/ 1436195 w 1591803"/>
              <a:gd name="connsiteY70" fmla="*/ 869955 h 2762255"/>
              <a:gd name="connsiteX71" fmla="*/ 1461595 w 1591803"/>
              <a:gd name="connsiteY71" fmla="*/ 831855 h 2762255"/>
              <a:gd name="connsiteX72" fmla="*/ 1486995 w 1591803"/>
              <a:gd name="connsiteY72" fmla="*/ 755655 h 2762255"/>
              <a:gd name="connsiteX73" fmla="*/ 1448895 w 1591803"/>
              <a:gd name="connsiteY73" fmla="*/ 742955 h 2762255"/>
              <a:gd name="connsiteX74" fmla="*/ 1372695 w 1591803"/>
              <a:gd name="connsiteY74" fmla="*/ 692155 h 2762255"/>
              <a:gd name="connsiteX75" fmla="*/ 1334595 w 1591803"/>
              <a:gd name="connsiteY75" fmla="*/ 679455 h 2762255"/>
              <a:gd name="connsiteX76" fmla="*/ 1296495 w 1591803"/>
              <a:gd name="connsiteY76" fmla="*/ 654055 h 2762255"/>
              <a:gd name="connsiteX77" fmla="*/ 1194895 w 1591803"/>
              <a:gd name="connsiteY77" fmla="*/ 628655 h 2762255"/>
              <a:gd name="connsiteX78" fmla="*/ 1156795 w 1591803"/>
              <a:gd name="connsiteY78" fmla="*/ 615955 h 2762255"/>
              <a:gd name="connsiteX79" fmla="*/ 1093295 w 1591803"/>
              <a:gd name="connsiteY79" fmla="*/ 603255 h 2762255"/>
              <a:gd name="connsiteX80" fmla="*/ 978995 w 1591803"/>
              <a:gd name="connsiteY80" fmla="*/ 552455 h 2762255"/>
              <a:gd name="connsiteX81" fmla="*/ 940895 w 1591803"/>
              <a:gd name="connsiteY81" fmla="*/ 539755 h 2762255"/>
              <a:gd name="connsiteX82" fmla="*/ 826595 w 1591803"/>
              <a:gd name="connsiteY82" fmla="*/ 488955 h 2762255"/>
              <a:gd name="connsiteX83" fmla="*/ 788495 w 1591803"/>
              <a:gd name="connsiteY83" fmla="*/ 476255 h 2762255"/>
              <a:gd name="connsiteX84" fmla="*/ 712295 w 1591803"/>
              <a:gd name="connsiteY84" fmla="*/ 425455 h 2762255"/>
              <a:gd name="connsiteX85" fmla="*/ 636095 w 1591803"/>
              <a:gd name="connsiteY85" fmla="*/ 400055 h 2762255"/>
              <a:gd name="connsiteX86" fmla="*/ 597995 w 1591803"/>
              <a:gd name="connsiteY86" fmla="*/ 361955 h 2762255"/>
              <a:gd name="connsiteX87" fmla="*/ 521795 w 1591803"/>
              <a:gd name="connsiteY87" fmla="*/ 336555 h 2762255"/>
              <a:gd name="connsiteX88" fmla="*/ 483695 w 1591803"/>
              <a:gd name="connsiteY88" fmla="*/ 311155 h 2762255"/>
              <a:gd name="connsiteX89" fmla="*/ 445595 w 1591803"/>
              <a:gd name="connsiteY89" fmla="*/ 298455 h 2762255"/>
              <a:gd name="connsiteX90" fmla="*/ 369395 w 1591803"/>
              <a:gd name="connsiteY90" fmla="*/ 247655 h 2762255"/>
              <a:gd name="connsiteX91" fmla="*/ 331295 w 1591803"/>
              <a:gd name="connsiteY91" fmla="*/ 222255 h 2762255"/>
              <a:gd name="connsiteX92" fmla="*/ 255095 w 1591803"/>
              <a:gd name="connsiteY92" fmla="*/ 158755 h 2762255"/>
              <a:gd name="connsiteX93" fmla="*/ 216995 w 1591803"/>
              <a:gd name="connsiteY93" fmla="*/ 146055 h 2762255"/>
              <a:gd name="connsiteX94" fmla="*/ 178895 w 1591803"/>
              <a:gd name="connsiteY94" fmla="*/ 120655 h 2762255"/>
              <a:gd name="connsiteX95" fmla="*/ 140795 w 1591803"/>
              <a:gd name="connsiteY95" fmla="*/ 107955 h 2762255"/>
              <a:gd name="connsiteX96" fmla="*/ 64595 w 1591803"/>
              <a:gd name="connsiteY96" fmla="*/ 57155 h 2762255"/>
              <a:gd name="connsiteX97" fmla="*/ 1095 w 1591803"/>
              <a:gd name="connsiteY97" fmla="*/ 6355 h 27622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591803" h="2762255">
                <a:moveTo>
                  <a:pt x="1095" y="6355"/>
                </a:moveTo>
                <a:cubicBezTo>
                  <a:pt x="-5255" y="25405"/>
                  <a:pt x="17684" y="127402"/>
                  <a:pt x="26495" y="171455"/>
                </a:cubicBezTo>
                <a:cubicBezTo>
                  <a:pt x="29918" y="188571"/>
                  <a:pt x="34962" y="205322"/>
                  <a:pt x="39195" y="222255"/>
                </a:cubicBezTo>
                <a:cubicBezTo>
                  <a:pt x="139824" y="188712"/>
                  <a:pt x="88985" y="192453"/>
                  <a:pt x="191595" y="209555"/>
                </a:cubicBezTo>
                <a:cubicBezTo>
                  <a:pt x="200062" y="222255"/>
                  <a:pt x="210169" y="234003"/>
                  <a:pt x="216995" y="247655"/>
                </a:cubicBezTo>
                <a:cubicBezTo>
                  <a:pt x="227665" y="268995"/>
                  <a:pt x="236291" y="316210"/>
                  <a:pt x="242395" y="336555"/>
                </a:cubicBezTo>
                <a:cubicBezTo>
                  <a:pt x="250088" y="362200"/>
                  <a:pt x="259328" y="387355"/>
                  <a:pt x="267795" y="412755"/>
                </a:cubicBezTo>
                <a:lnTo>
                  <a:pt x="280495" y="450855"/>
                </a:lnTo>
                <a:cubicBezTo>
                  <a:pt x="276262" y="518588"/>
                  <a:pt x="272808" y="586375"/>
                  <a:pt x="267795" y="654055"/>
                </a:cubicBezTo>
                <a:cubicBezTo>
                  <a:pt x="257729" y="789950"/>
                  <a:pt x="245061" y="768987"/>
                  <a:pt x="267795" y="882655"/>
                </a:cubicBezTo>
                <a:cubicBezTo>
                  <a:pt x="270420" y="895782"/>
                  <a:pt x="272132" y="910302"/>
                  <a:pt x="280495" y="920755"/>
                </a:cubicBezTo>
                <a:cubicBezTo>
                  <a:pt x="290030" y="932674"/>
                  <a:pt x="305895" y="937688"/>
                  <a:pt x="318595" y="946155"/>
                </a:cubicBezTo>
                <a:lnTo>
                  <a:pt x="343995" y="1022355"/>
                </a:lnTo>
                <a:lnTo>
                  <a:pt x="356695" y="1060455"/>
                </a:lnTo>
                <a:cubicBezTo>
                  <a:pt x="331971" y="1134628"/>
                  <a:pt x="363340" y="1066510"/>
                  <a:pt x="305895" y="1123955"/>
                </a:cubicBezTo>
                <a:cubicBezTo>
                  <a:pt x="221228" y="1208622"/>
                  <a:pt x="343995" y="1119722"/>
                  <a:pt x="242395" y="1187455"/>
                </a:cubicBezTo>
                <a:lnTo>
                  <a:pt x="216995" y="1263655"/>
                </a:lnTo>
                <a:lnTo>
                  <a:pt x="204295" y="1301755"/>
                </a:lnTo>
                <a:cubicBezTo>
                  <a:pt x="208528" y="1331388"/>
                  <a:pt x="216995" y="1360721"/>
                  <a:pt x="216995" y="1390655"/>
                </a:cubicBezTo>
                <a:cubicBezTo>
                  <a:pt x="216995" y="1458520"/>
                  <a:pt x="204295" y="1525990"/>
                  <a:pt x="204295" y="1593855"/>
                </a:cubicBezTo>
                <a:cubicBezTo>
                  <a:pt x="204295" y="1607242"/>
                  <a:pt x="208632" y="1621502"/>
                  <a:pt x="216995" y="1631955"/>
                </a:cubicBezTo>
                <a:cubicBezTo>
                  <a:pt x="226530" y="1643874"/>
                  <a:pt x="242395" y="1648888"/>
                  <a:pt x="255095" y="1657355"/>
                </a:cubicBezTo>
                <a:cubicBezTo>
                  <a:pt x="250862" y="1742022"/>
                  <a:pt x="258257" y="1828080"/>
                  <a:pt x="242395" y="1911355"/>
                </a:cubicBezTo>
                <a:cubicBezTo>
                  <a:pt x="239890" y="1924506"/>
                  <a:pt x="204295" y="1910668"/>
                  <a:pt x="204295" y="1924055"/>
                </a:cubicBezTo>
                <a:cubicBezTo>
                  <a:pt x="204295" y="1937442"/>
                  <a:pt x="229695" y="1932522"/>
                  <a:pt x="242395" y="1936755"/>
                </a:cubicBezTo>
                <a:cubicBezTo>
                  <a:pt x="280495" y="1962155"/>
                  <a:pt x="284728" y="1957922"/>
                  <a:pt x="305895" y="2000255"/>
                </a:cubicBezTo>
                <a:cubicBezTo>
                  <a:pt x="326553" y="2041572"/>
                  <a:pt x="307599" y="2040059"/>
                  <a:pt x="343995" y="2076455"/>
                </a:cubicBezTo>
                <a:cubicBezTo>
                  <a:pt x="354788" y="2087248"/>
                  <a:pt x="369395" y="2093388"/>
                  <a:pt x="382095" y="2101855"/>
                </a:cubicBezTo>
                <a:cubicBezTo>
                  <a:pt x="394670" y="2139581"/>
                  <a:pt x="402706" y="2185966"/>
                  <a:pt x="432895" y="2216155"/>
                </a:cubicBezTo>
                <a:cubicBezTo>
                  <a:pt x="443688" y="2226948"/>
                  <a:pt x="458295" y="2233088"/>
                  <a:pt x="470995" y="2241555"/>
                </a:cubicBezTo>
                <a:lnTo>
                  <a:pt x="572595" y="2393955"/>
                </a:lnTo>
                <a:cubicBezTo>
                  <a:pt x="640328" y="2495555"/>
                  <a:pt x="553545" y="2455338"/>
                  <a:pt x="636095" y="2482855"/>
                </a:cubicBezTo>
                <a:cubicBezTo>
                  <a:pt x="696472" y="2523107"/>
                  <a:pt x="659715" y="2503428"/>
                  <a:pt x="750395" y="2533655"/>
                </a:cubicBezTo>
                <a:lnTo>
                  <a:pt x="788495" y="2546355"/>
                </a:lnTo>
                <a:cubicBezTo>
                  <a:pt x="801195" y="2550588"/>
                  <a:pt x="813608" y="2555808"/>
                  <a:pt x="826595" y="2559055"/>
                </a:cubicBezTo>
                <a:lnTo>
                  <a:pt x="928195" y="2584455"/>
                </a:lnTo>
                <a:lnTo>
                  <a:pt x="1042495" y="2622555"/>
                </a:lnTo>
                <a:lnTo>
                  <a:pt x="1080595" y="2635255"/>
                </a:lnTo>
                <a:lnTo>
                  <a:pt x="1118695" y="2647955"/>
                </a:lnTo>
                <a:cubicBezTo>
                  <a:pt x="1131395" y="2656422"/>
                  <a:pt x="1143143" y="2666529"/>
                  <a:pt x="1156795" y="2673355"/>
                </a:cubicBezTo>
                <a:cubicBezTo>
                  <a:pt x="1168769" y="2679342"/>
                  <a:pt x="1182023" y="2682377"/>
                  <a:pt x="1194895" y="2686055"/>
                </a:cubicBezTo>
                <a:cubicBezTo>
                  <a:pt x="1247942" y="2701211"/>
                  <a:pt x="1262018" y="2701475"/>
                  <a:pt x="1321895" y="2711455"/>
                </a:cubicBezTo>
                <a:cubicBezTo>
                  <a:pt x="1393113" y="2735194"/>
                  <a:pt x="1347008" y="2720908"/>
                  <a:pt x="1461595" y="2749555"/>
                </a:cubicBezTo>
                <a:cubicBezTo>
                  <a:pt x="1486577" y="2755800"/>
                  <a:pt x="1512395" y="2758022"/>
                  <a:pt x="1537795" y="2762255"/>
                </a:cubicBezTo>
                <a:cubicBezTo>
                  <a:pt x="1554728" y="2758022"/>
                  <a:pt x="1581719" y="2765598"/>
                  <a:pt x="1588595" y="2749555"/>
                </a:cubicBezTo>
                <a:cubicBezTo>
                  <a:pt x="1598739" y="2725887"/>
                  <a:pt x="1582140" y="2698337"/>
                  <a:pt x="1575895" y="2673355"/>
                </a:cubicBezTo>
                <a:cubicBezTo>
                  <a:pt x="1569401" y="2647380"/>
                  <a:pt x="1558962" y="2622555"/>
                  <a:pt x="1550495" y="2597155"/>
                </a:cubicBezTo>
                <a:lnTo>
                  <a:pt x="1525095" y="2520955"/>
                </a:lnTo>
                <a:cubicBezTo>
                  <a:pt x="1520268" y="2506475"/>
                  <a:pt x="1506521" y="2496507"/>
                  <a:pt x="1499695" y="2482855"/>
                </a:cubicBezTo>
                <a:cubicBezTo>
                  <a:pt x="1493708" y="2470881"/>
                  <a:pt x="1492982" y="2456729"/>
                  <a:pt x="1486995" y="2444755"/>
                </a:cubicBezTo>
                <a:cubicBezTo>
                  <a:pt x="1480169" y="2431103"/>
                  <a:pt x="1467794" y="2420603"/>
                  <a:pt x="1461595" y="2406655"/>
                </a:cubicBezTo>
                <a:lnTo>
                  <a:pt x="1423495" y="2292355"/>
                </a:lnTo>
                <a:cubicBezTo>
                  <a:pt x="1419262" y="2279655"/>
                  <a:pt x="1416782" y="2266229"/>
                  <a:pt x="1410795" y="2254255"/>
                </a:cubicBezTo>
                <a:cubicBezTo>
                  <a:pt x="1402328" y="2237322"/>
                  <a:pt x="1392426" y="2221033"/>
                  <a:pt x="1385395" y="2203455"/>
                </a:cubicBezTo>
                <a:cubicBezTo>
                  <a:pt x="1375451" y="2178596"/>
                  <a:pt x="1368462" y="2152655"/>
                  <a:pt x="1359995" y="2127255"/>
                </a:cubicBezTo>
                <a:lnTo>
                  <a:pt x="1334595" y="2051055"/>
                </a:lnTo>
                <a:cubicBezTo>
                  <a:pt x="1316603" y="1997080"/>
                  <a:pt x="1273212" y="2002372"/>
                  <a:pt x="1232995" y="1962155"/>
                </a:cubicBezTo>
                <a:cubicBezTo>
                  <a:pt x="1204908" y="1934068"/>
                  <a:pt x="1187176" y="1921318"/>
                  <a:pt x="1169495" y="1885955"/>
                </a:cubicBezTo>
                <a:cubicBezTo>
                  <a:pt x="1163508" y="1873981"/>
                  <a:pt x="1161028" y="1860555"/>
                  <a:pt x="1156795" y="1847855"/>
                </a:cubicBezTo>
                <a:cubicBezTo>
                  <a:pt x="1161028" y="1809755"/>
                  <a:pt x="1161977" y="1771145"/>
                  <a:pt x="1169495" y="1733555"/>
                </a:cubicBezTo>
                <a:cubicBezTo>
                  <a:pt x="1174746" y="1707301"/>
                  <a:pt x="1186428" y="1682755"/>
                  <a:pt x="1194895" y="1657355"/>
                </a:cubicBezTo>
                <a:lnTo>
                  <a:pt x="1207595" y="1619255"/>
                </a:lnTo>
                <a:cubicBezTo>
                  <a:pt x="1253263" y="1482251"/>
                  <a:pt x="1216905" y="1672610"/>
                  <a:pt x="1245695" y="1543055"/>
                </a:cubicBezTo>
                <a:cubicBezTo>
                  <a:pt x="1257312" y="1490778"/>
                  <a:pt x="1257228" y="1454202"/>
                  <a:pt x="1271095" y="1403355"/>
                </a:cubicBezTo>
                <a:cubicBezTo>
                  <a:pt x="1278140" y="1377524"/>
                  <a:pt x="1288028" y="1352555"/>
                  <a:pt x="1296495" y="1327155"/>
                </a:cubicBezTo>
                <a:lnTo>
                  <a:pt x="1321895" y="1250955"/>
                </a:lnTo>
                <a:cubicBezTo>
                  <a:pt x="1327415" y="1234396"/>
                  <a:pt x="1329800" y="1216938"/>
                  <a:pt x="1334595" y="1200155"/>
                </a:cubicBezTo>
                <a:cubicBezTo>
                  <a:pt x="1338273" y="1187283"/>
                  <a:pt x="1344048" y="1175042"/>
                  <a:pt x="1347295" y="1162055"/>
                </a:cubicBezTo>
                <a:cubicBezTo>
                  <a:pt x="1352530" y="1141114"/>
                  <a:pt x="1354315" y="1119380"/>
                  <a:pt x="1359995" y="1098555"/>
                </a:cubicBezTo>
                <a:cubicBezTo>
                  <a:pt x="1367040" y="1072724"/>
                  <a:pt x="1376928" y="1047755"/>
                  <a:pt x="1385395" y="1022355"/>
                </a:cubicBezTo>
                <a:lnTo>
                  <a:pt x="1436195" y="869955"/>
                </a:lnTo>
                <a:cubicBezTo>
                  <a:pt x="1441022" y="855475"/>
                  <a:pt x="1455396" y="845803"/>
                  <a:pt x="1461595" y="831855"/>
                </a:cubicBezTo>
                <a:cubicBezTo>
                  <a:pt x="1472469" y="807389"/>
                  <a:pt x="1486995" y="755655"/>
                  <a:pt x="1486995" y="755655"/>
                </a:cubicBezTo>
                <a:cubicBezTo>
                  <a:pt x="1474295" y="751422"/>
                  <a:pt x="1460597" y="749456"/>
                  <a:pt x="1448895" y="742955"/>
                </a:cubicBezTo>
                <a:cubicBezTo>
                  <a:pt x="1422210" y="728130"/>
                  <a:pt x="1401655" y="701808"/>
                  <a:pt x="1372695" y="692155"/>
                </a:cubicBezTo>
                <a:lnTo>
                  <a:pt x="1334595" y="679455"/>
                </a:lnTo>
                <a:cubicBezTo>
                  <a:pt x="1321895" y="670988"/>
                  <a:pt x="1310147" y="660881"/>
                  <a:pt x="1296495" y="654055"/>
                </a:cubicBezTo>
                <a:cubicBezTo>
                  <a:pt x="1267465" y="639540"/>
                  <a:pt x="1223878" y="635901"/>
                  <a:pt x="1194895" y="628655"/>
                </a:cubicBezTo>
                <a:cubicBezTo>
                  <a:pt x="1181908" y="625408"/>
                  <a:pt x="1169782" y="619202"/>
                  <a:pt x="1156795" y="615955"/>
                </a:cubicBezTo>
                <a:cubicBezTo>
                  <a:pt x="1135854" y="610720"/>
                  <a:pt x="1114462" y="607488"/>
                  <a:pt x="1093295" y="603255"/>
                </a:cubicBezTo>
                <a:cubicBezTo>
                  <a:pt x="1032918" y="563003"/>
                  <a:pt x="1069675" y="582682"/>
                  <a:pt x="978995" y="552455"/>
                </a:cubicBezTo>
                <a:lnTo>
                  <a:pt x="940895" y="539755"/>
                </a:lnTo>
                <a:cubicBezTo>
                  <a:pt x="880518" y="499503"/>
                  <a:pt x="917275" y="519182"/>
                  <a:pt x="826595" y="488955"/>
                </a:cubicBezTo>
                <a:lnTo>
                  <a:pt x="788495" y="476255"/>
                </a:lnTo>
                <a:cubicBezTo>
                  <a:pt x="763095" y="459322"/>
                  <a:pt x="741255" y="435108"/>
                  <a:pt x="712295" y="425455"/>
                </a:cubicBezTo>
                <a:lnTo>
                  <a:pt x="636095" y="400055"/>
                </a:lnTo>
                <a:cubicBezTo>
                  <a:pt x="623395" y="387355"/>
                  <a:pt x="613695" y="370677"/>
                  <a:pt x="597995" y="361955"/>
                </a:cubicBezTo>
                <a:cubicBezTo>
                  <a:pt x="574590" y="348952"/>
                  <a:pt x="521795" y="336555"/>
                  <a:pt x="521795" y="336555"/>
                </a:cubicBezTo>
                <a:cubicBezTo>
                  <a:pt x="509095" y="328088"/>
                  <a:pt x="497347" y="317981"/>
                  <a:pt x="483695" y="311155"/>
                </a:cubicBezTo>
                <a:cubicBezTo>
                  <a:pt x="471721" y="305168"/>
                  <a:pt x="457297" y="304956"/>
                  <a:pt x="445595" y="298455"/>
                </a:cubicBezTo>
                <a:cubicBezTo>
                  <a:pt x="418910" y="283630"/>
                  <a:pt x="394795" y="264588"/>
                  <a:pt x="369395" y="247655"/>
                </a:cubicBezTo>
                <a:cubicBezTo>
                  <a:pt x="356695" y="239188"/>
                  <a:pt x="342088" y="233048"/>
                  <a:pt x="331295" y="222255"/>
                </a:cubicBezTo>
                <a:cubicBezTo>
                  <a:pt x="303208" y="194168"/>
                  <a:pt x="290458" y="176436"/>
                  <a:pt x="255095" y="158755"/>
                </a:cubicBezTo>
                <a:cubicBezTo>
                  <a:pt x="243121" y="152768"/>
                  <a:pt x="229695" y="150288"/>
                  <a:pt x="216995" y="146055"/>
                </a:cubicBezTo>
                <a:cubicBezTo>
                  <a:pt x="204295" y="137588"/>
                  <a:pt x="192547" y="127481"/>
                  <a:pt x="178895" y="120655"/>
                </a:cubicBezTo>
                <a:cubicBezTo>
                  <a:pt x="166921" y="114668"/>
                  <a:pt x="151934" y="115381"/>
                  <a:pt x="140795" y="107955"/>
                </a:cubicBezTo>
                <a:cubicBezTo>
                  <a:pt x="45663" y="44534"/>
                  <a:pt x="155187" y="87352"/>
                  <a:pt x="64595" y="57155"/>
                </a:cubicBezTo>
                <a:cubicBezTo>
                  <a:pt x="20508" y="13068"/>
                  <a:pt x="7445" y="-12695"/>
                  <a:pt x="1095" y="635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reeform 5"/>
          <xdr:cNvSpPr/>
        </xdr:nvSpPr>
        <xdr:spPr>
          <a:xfrm>
            <a:off x="950736" y="18087921"/>
            <a:ext cx="344664" cy="606479"/>
          </a:xfrm>
          <a:custGeom>
            <a:avLst/>
            <a:gdLst>
              <a:gd name="connsiteX0" fmla="*/ 1764 w 344664"/>
              <a:gd name="connsiteY0" fmla="*/ 9579 h 606479"/>
              <a:gd name="connsiteX1" fmla="*/ 14464 w 344664"/>
              <a:gd name="connsiteY1" fmla="*/ 98479 h 606479"/>
              <a:gd name="connsiteX2" fmla="*/ 39864 w 344664"/>
              <a:gd name="connsiteY2" fmla="*/ 174679 h 606479"/>
              <a:gd name="connsiteX3" fmla="*/ 52564 w 344664"/>
              <a:gd name="connsiteY3" fmla="*/ 301679 h 606479"/>
              <a:gd name="connsiteX4" fmla="*/ 90664 w 344664"/>
              <a:gd name="connsiteY4" fmla="*/ 314379 h 606479"/>
              <a:gd name="connsiteX5" fmla="*/ 116064 w 344664"/>
              <a:gd name="connsiteY5" fmla="*/ 352479 h 606479"/>
              <a:gd name="connsiteX6" fmla="*/ 141464 w 344664"/>
              <a:gd name="connsiteY6" fmla="*/ 441379 h 606479"/>
              <a:gd name="connsiteX7" fmla="*/ 154164 w 344664"/>
              <a:gd name="connsiteY7" fmla="*/ 479479 h 606479"/>
              <a:gd name="connsiteX8" fmla="*/ 268464 w 344664"/>
              <a:gd name="connsiteY8" fmla="*/ 555679 h 606479"/>
              <a:gd name="connsiteX9" fmla="*/ 306564 w 344664"/>
              <a:gd name="connsiteY9" fmla="*/ 581079 h 606479"/>
              <a:gd name="connsiteX10" fmla="*/ 344664 w 344664"/>
              <a:gd name="connsiteY10" fmla="*/ 606479 h 606479"/>
              <a:gd name="connsiteX11" fmla="*/ 331964 w 344664"/>
              <a:gd name="connsiteY11" fmla="*/ 504879 h 606479"/>
              <a:gd name="connsiteX12" fmla="*/ 306564 w 344664"/>
              <a:gd name="connsiteY12" fmla="*/ 466779 h 606479"/>
              <a:gd name="connsiteX13" fmla="*/ 293864 w 344664"/>
              <a:gd name="connsiteY13" fmla="*/ 428679 h 606479"/>
              <a:gd name="connsiteX14" fmla="*/ 230364 w 344664"/>
              <a:gd name="connsiteY14" fmla="*/ 288979 h 606479"/>
              <a:gd name="connsiteX15" fmla="*/ 179564 w 344664"/>
              <a:gd name="connsiteY15" fmla="*/ 212779 h 606479"/>
              <a:gd name="connsiteX16" fmla="*/ 90664 w 344664"/>
              <a:gd name="connsiteY16" fmla="*/ 98479 h 606479"/>
              <a:gd name="connsiteX17" fmla="*/ 52564 w 344664"/>
              <a:gd name="connsiteY17" fmla="*/ 22279 h 606479"/>
              <a:gd name="connsiteX18" fmla="*/ 1764 w 344664"/>
              <a:gd name="connsiteY18" fmla="*/ 9579 h 6064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44664" h="606479">
                <a:moveTo>
                  <a:pt x="1764" y="9579"/>
                </a:moveTo>
                <a:cubicBezTo>
                  <a:pt x="-4586" y="22279"/>
                  <a:pt x="7733" y="69311"/>
                  <a:pt x="14464" y="98479"/>
                </a:cubicBezTo>
                <a:cubicBezTo>
                  <a:pt x="20484" y="124567"/>
                  <a:pt x="39864" y="174679"/>
                  <a:pt x="39864" y="174679"/>
                </a:cubicBezTo>
                <a:cubicBezTo>
                  <a:pt x="44097" y="217012"/>
                  <a:pt x="38025" y="261696"/>
                  <a:pt x="52564" y="301679"/>
                </a:cubicBezTo>
                <a:cubicBezTo>
                  <a:pt x="57139" y="314260"/>
                  <a:pt x="80211" y="306016"/>
                  <a:pt x="90664" y="314379"/>
                </a:cubicBezTo>
                <a:cubicBezTo>
                  <a:pt x="102583" y="323914"/>
                  <a:pt x="109238" y="338827"/>
                  <a:pt x="116064" y="352479"/>
                </a:cubicBezTo>
                <a:cubicBezTo>
                  <a:pt x="126214" y="372779"/>
                  <a:pt x="136039" y="422390"/>
                  <a:pt x="141464" y="441379"/>
                </a:cubicBezTo>
                <a:cubicBezTo>
                  <a:pt x="145142" y="454251"/>
                  <a:pt x="144698" y="470013"/>
                  <a:pt x="154164" y="479479"/>
                </a:cubicBezTo>
                <a:lnTo>
                  <a:pt x="268464" y="555679"/>
                </a:lnTo>
                <a:lnTo>
                  <a:pt x="306564" y="581079"/>
                </a:lnTo>
                <a:lnTo>
                  <a:pt x="344664" y="606479"/>
                </a:lnTo>
                <a:cubicBezTo>
                  <a:pt x="340431" y="572612"/>
                  <a:pt x="340944" y="537807"/>
                  <a:pt x="331964" y="504879"/>
                </a:cubicBezTo>
                <a:cubicBezTo>
                  <a:pt x="327948" y="490153"/>
                  <a:pt x="313390" y="480431"/>
                  <a:pt x="306564" y="466779"/>
                </a:cubicBezTo>
                <a:cubicBezTo>
                  <a:pt x="300577" y="454805"/>
                  <a:pt x="296874" y="441723"/>
                  <a:pt x="293864" y="428679"/>
                </a:cubicBezTo>
                <a:cubicBezTo>
                  <a:pt x="261168" y="286995"/>
                  <a:pt x="310869" y="315814"/>
                  <a:pt x="230364" y="288979"/>
                </a:cubicBezTo>
                <a:lnTo>
                  <a:pt x="179564" y="212779"/>
                </a:lnTo>
                <a:cubicBezTo>
                  <a:pt x="135733" y="147032"/>
                  <a:pt x="124479" y="199925"/>
                  <a:pt x="90664" y="98479"/>
                </a:cubicBezTo>
                <a:cubicBezTo>
                  <a:pt x="82298" y="73380"/>
                  <a:pt x="74945" y="40184"/>
                  <a:pt x="52564" y="22279"/>
                </a:cubicBezTo>
                <a:cubicBezTo>
                  <a:pt x="15928" y="-7030"/>
                  <a:pt x="8114" y="-3121"/>
                  <a:pt x="1764" y="9579"/>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Freeform 64"/>
          <xdr:cNvSpPr/>
        </xdr:nvSpPr>
        <xdr:spPr>
          <a:xfrm>
            <a:off x="685800" y="17309720"/>
            <a:ext cx="170779" cy="318815"/>
          </a:xfrm>
          <a:custGeom>
            <a:avLst/>
            <a:gdLst>
              <a:gd name="connsiteX0" fmla="*/ 114300 w 170779"/>
              <a:gd name="connsiteY0" fmla="*/ 38480 h 318815"/>
              <a:gd name="connsiteX1" fmla="*/ 50800 w 170779"/>
              <a:gd name="connsiteY1" fmla="*/ 380 h 318815"/>
              <a:gd name="connsiteX2" fmla="*/ 38100 w 170779"/>
              <a:gd name="connsiteY2" fmla="*/ 51180 h 318815"/>
              <a:gd name="connsiteX3" fmla="*/ 0 w 170779"/>
              <a:gd name="connsiteY3" fmla="*/ 254380 h 318815"/>
              <a:gd name="connsiteX4" fmla="*/ 50800 w 170779"/>
              <a:gd name="connsiteY4" fmla="*/ 317880 h 318815"/>
              <a:gd name="connsiteX5" fmla="*/ 63500 w 170779"/>
              <a:gd name="connsiteY5" fmla="*/ 279780 h 318815"/>
              <a:gd name="connsiteX6" fmla="*/ 88900 w 170779"/>
              <a:gd name="connsiteY6" fmla="*/ 241680 h 318815"/>
              <a:gd name="connsiteX7" fmla="*/ 101600 w 170779"/>
              <a:gd name="connsiteY7" fmla="*/ 203580 h 318815"/>
              <a:gd name="connsiteX8" fmla="*/ 139700 w 170779"/>
              <a:gd name="connsiteY8" fmla="*/ 178180 h 318815"/>
              <a:gd name="connsiteX9" fmla="*/ 152400 w 170779"/>
              <a:gd name="connsiteY9" fmla="*/ 76580 h 318815"/>
              <a:gd name="connsiteX10" fmla="*/ 101600 w 170779"/>
              <a:gd name="connsiteY10" fmla="*/ 63880 h 318815"/>
              <a:gd name="connsiteX11" fmla="*/ 114300 w 170779"/>
              <a:gd name="connsiteY11" fmla="*/ 38480 h 3188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779" h="318815">
                <a:moveTo>
                  <a:pt x="114300" y="38480"/>
                </a:moveTo>
                <a:cubicBezTo>
                  <a:pt x="93133" y="25780"/>
                  <a:pt x="75149" y="-3678"/>
                  <a:pt x="50800" y="380"/>
                </a:cubicBezTo>
                <a:cubicBezTo>
                  <a:pt x="33583" y="3249"/>
                  <a:pt x="40139" y="33845"/>
                  <a:pt x="38100" y="51180"/>
                </a:cubicBezTo>
                <a:cubicBezTo>
                  <a:pt x="15312" y="244874"/>
                  <a:pt x="58483" y="166656"/>
                  <a:pt x="0" y="254380"/>
                </a:cubicBezTo>
                <a:cubicBezTo>
                  <a:pt x="5346" y="270419"/>
                  <a:pt x="15449" y="326718"/>
                  <a:pt x="50800" y="317880"/>
                </a:cubicBezTo>
                <a:cubicBezTo>
                  <a:pt x="63787" y="314633"/>
                  <a:pt x="57513" y="291754"/>
                  <a:pt x="63500" y="279780"/>
                </a:cubicBezTo>
                <a:cubicBezTo>
                  <a:pt x="70326" y="266128"/>
                  <a:pt x="82074" y="255332"/>
                  <a:pt x="88900" y="241680"/>
                </a:cubicBezTo>
                <a:cubicBezTo>
                  <a:pt x="94887" y="229706"/>
                  <a:pt x="93237" y="214033"/>
                  <a:pt x="101600" y="203580"/>
                </a:cubicBezTo>
                <a:cubicBezTo>
                  <a:pt x="111135" y="191661"/>
                  <a:pt x="127000" y="186647"/>
                  <a:pt x="139700" y="178180"/>
                </a:cubicBezTo>
                <a:cubicBezTo>
                  <a:pt x="161456" y="145546"/>
                  <a:pt x="190180" y="121917"/>
                  <a:pt x="152400" y="76580"/>
                </a:cubicBezTo>
                <a:cubicBezTo>
                  <a:pt x="141226" y="63171"/>
                  <a:pt x="118533" y="68113"/>
                  <a:pt x="101600" y="63880"/>
                </a:cubicBezTo>
                <a:lnTo>
                  <a:pt x="114300" y="3848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87</xdr:row>
      <xdr:rowOff>63500</xdr:rowOff>
    </xdr:from>
    <xdr:to>
      <xdr:col>4</xdr:col>
      <xdr:colOff>76200</xdr:colOff>
      <xdr:row>99</xdr:row>
      <xdr:rowOff>139700</xdr:rowOff>
    </xdr:to>
    <xdr:sp macro="" textlink="">
      <xdr:nvSpPr>
        <xdr:cNvPr id="70" name="Yukon"/>
        <xdr:cNvSpPr/>
      </xdr:nvSpPr>
      <xdr:spPr>
        <a:xfrm>
          <a:off x="723900" y="14719300"/>
          <a:ext cx="1295400" cy="2057400"/>
        </a:xfrm>
        <a:custGeom>
          <a:avLst/>
          <a:gdLst>
            <a:gd name="connsiteX0" fmla="*/ 965200 w 1295400"/>
            <a:gd name="connsiteY0" fmla="*/ 0 h 2057400"/>
            <a:gd name="connsiteX1" fmla="*/ 927100 w 1295400"/>
            <a:gd name="connsiteY1" fmla="*/ 63500 h 2057400"/>
            <a:gd name="connsiteX2" fmla="*/ 914400 w 1295400"/>
            <a:gd name="connsiteY2" fmla="*/ 101600 h 2057400"/>
            <a:gd name="connsiteX3" fmla="*/ 876300 w 1295400"/>
            <a:gd name="connsiteY3" fmla="*/ 139700 h 2057400"/>
            <a:gd name="connsiteX4" fmla="*/ 812800 w 1295400"/>
            <a:gd name="connsiteY4" fmla="*/ 241300 h 2057400"/>
            <a:gd name="connsiteX5" fmla="*/ 787400 w 1295400"/>
            <a:gd name="connsiteY5" fmla="*/ 279400 h 2057400"/>
            <a:gd name="connsiteX6" fmla="*/ 774700 w 1295400"/>
            <a:gd name="connsiteY6" fmla="*/ 317500 h 2057400"/>
            <a:gd name="connsiteX7" fmla="*/ 698500 w 1295400"/>
            <a:gd name="connsiteY7" fmla="*/ 393700 h 2057400"/>
            <a:gd name="connsiteX8" fmla="*/ 673100 w 1295400"/>
            <a:gd name="connsiteY8" fmla="*/ 431800 h 2057400"/>
            <a:gd name="connsiteX9" fmla="*/ 635000 w 1295400"/>
            <a:gd name="connsiteY9" fmla="*/ 457200 h 2057400"/>
            <a:gd name="connsiteX10" fmla="*/ 609600 w 1295400"/>
            <a:gd name="connsiteY10" fmla="*/ 495300 h 2057400"/>
            <a:gd name="connsiteX11" fmla="*/ 584200 w 1295400"/>
            <a:gd name="connsiteY11" fmla="*/ 546100 h 2057400"/>
            <a:gd name="connsiteX12" fmla="*/ 546100 w 1295400"/>
            <a:gd name="connsiteY12" fmla="*/ 584200 h 2057400"/>
            <a:gd name="connsiteX13" fmla="*/ 482600 w 1295400"/>
            <a:gd name="connsiteY13" fmla="*/ 647700 h 2057400"/>
            <a:gd name="connsiteX14" fmla="*/ 419100 w 1295400"/>
            <a:gd name="connsiteY14" fmla="*/ 762000 h 2057400"/>
            <a:gd name="connsiteX15" fmla="*/ 381000 w 1295400"/>
            <a:gd name="connsiteY15" fmla="*/ 800100 h 2057400"/>
            <a:gd name="connsiteX16" fmla="*/ 330200 w 1295400"/>
            <a:gd name="connsiteY16" fmla="*/ 876300 h 2057400"/>
            <a:gd name="connsiteX17" fmla="*/ 304800 w 1295400"/>
            <a:gd name="connsiteY17" fmla="*/ 914400 h 2057400"/>
            <a:gd name="connsiteX18" fmla="*/ 266700 w 1295400"/>
            <a:gd name="connsiteY18" fmla="*/ 952500 h 2057400"/>
            <a:gd name="connsiteX19" fmla="*/ 228600 w 1295400"/>
            <a:gd name="connsiteY19" fmla="*/ 1028700 h 2057400"/>
            <a:gd name="connsiteX20" fmla="*/ 190500 w 1295400"/>
            <a:gd name="connsiteY20" fmla="*/ 1054100 h 2057400"/>
            <a:gd name="connsiteX21" fmla="*/ 165100 w 1295400"/>
            <a:gd name="connsiteY21" fmla="*/ 1092200 h 2057400"/>
            <a:gd name="connsiteX22" fmla="*/ 88900 w 1295400"/>
            <a:gd name="connsiteY22" fmla="*/ 1168400 h 2057400"/>
            <a:gd name="connsiteX23" fmla="*/ 38100 w 1295400"/>
            <a:gd name="connsiteY23" fmla="*/ 1244600 h 2057400"/>
            <a:gd name="connsiteX24" fmla="*/ 12700 w 1295400"/>
            <a:gd name="connsiteY24" fmla="*/ 1282700 h 2057400"/>
            <a:gd name="connsiteX25" fmla="*/ 0 w 1295400"/>
            <a:gd name="connsiteY25" fmla="*/ 1320800 h 2057400"/>
            <a:gd name="connsiteX26" fmla="*/ 63500 w 1295400"/>
            <a:gd name="connsiteY26" fmla="*/ 1384300 h 2057400"/>
            <a:gd name="connsiteX27" fmla="*/ 76200 w 1295400"/>
            <a:gd name="connsiteY27" fmla="*/ 1422400 h 2057400"/>
            <a:gd name="connsiteX28" fmla="*/ 114300 w 1295400"/>
            <a:gd name="connsiteY28" fmla="*/ 1435100 h 2057400"/>
            <a:gd name="connsiteX29" fmla="*/ 152400 w 1295400"/>
            <a:gd name="connsiteY29" fmla="*/ 1460500 h 2057400"/>
            <a:gd name="connsiteX30" fmla="*/ 190500 w 1295400"/>
            <a:gd name="connsiteY30" fmla="*/ 1473200 h 2057400"/>
            <a:gd name="connsiteX31" fmla="*/ 203200 w 1295400"/>
            <a:gd name="connsiteY31" fmla="*/ 1511300 h 2057400"/>
            <a:gd name="connsiteX32" fmla="*/ 279400 w 1295400"/>
            <a:gd name="connsiteY32" fmla="*/ 1536700 h 2057400"/>
            <a:gd name="connsiteX33" fmla="*/ 317500 w 1295400"/>
            <a:gd name="connsiteY33" fmla="*/ 1562100 h 2057400"/>
            <a:gd name="connsiteX34" fmla="*/ 342900 w 1295400"/>
            <a:gd name="connsiteY34" fmla="*/ 1600200 h 2057400"/>
            <a:gd name="connsiteX35" fmla="*/ 381000 w 1295400"/>
            <a:gd name="connsiteY35" fmla="*/ 1612900 h 2057400"/>
            <a:gd name="connsiteX36" fmla="*/ 419100 w 1295400"/>
            <a:gd name="connsiteY36" fmla="*/ 1638300 h 2057400"/>
            <a:gd name="connsiteX37" fmla="*/ 495300 w 1295400"/>
            <a:gd name="connsiteY37" fmla="*/ 1676400 h 2057400"/>
            <a:gd name="connsiteX38" fmla="*/ 533400 w 1295400"/>
            <a:gd name="connsiteY38" fmla="*/ 1714500 h 2057400"/>
            <a:gd name="connsiteX39" fmla="*/ 609600 w 1295400"/>
            <a:gd name="connsiteY39" fmla="*/ 1752600 h 2057400"/>
            <a:gd name="connsiteX40" fmla="*/ 723900 w 1295400"/>
            <a:gd name="connsiteY40" fmla="*/ 1828800 h 2057400"/>
            <a:gd name="connsiteX41" fmla="*/ 762000 w 1295400"/>
            <a:gd name="connsiteY41" fmla="*/ 1841500 h 2057400"/>
            <a:gd name="connsiteX42" fmla="*/ 876300 w 1295400"/>
            <a:gd name="connsiteY42" fmla="*/ 1905000 h 2057400"/>
            <a:gd name="connsiteX43" fmla="*/ 952500 w 1295400"/>
            <a:gd name="connsiteY43" fmla="*/ 1943100 h 2057400"/>
            <a:gd name="connsiteX44" fmla="*/ 990600 w 1295400"/>
            <a:gd name="connsiteY44" fmla="*/ 1968500 h 2057400"/>
            <a:gd name="connsiteX45" fmla="*/ 1041400 w 1295400"/>
            <a:gd name="connsiteY45" fmla="*/ 1981200 h 2057400"/>
            <a:gd name="connsiteX46" fmla="*/ 1117600 w 1295400"/>
            <a:gd name="connsiteY46" fmla="*/ 2006600 h 2057400"/>
            <a:gd name="connsiteX47" fmla="*/ 1168400 w 1295400"/>
            <a:gd name="connsiteY47" fmla="*/ 2019300 h 2057400"/>
            <a:gd name="connsiteX48" fmla="*/ 1244600 w 1295400"/>
            <a:gd name="connsiteY48" fmla="*/ 2044700 h 2057400"/>
            <a:gd name="connsiteX49" fmla="*/ 1282700 w 1295400"/>
            <a:gd name="connsiteY49" fmla="*/ 2057400 h 2057400"/>
            <a:gd name="connsiteX50" fmla="*/ 1295400 w 1295400"/>
            <a:gd name="connsiteY50" fmla="*/ 2019300 h 2057400"/>
            <a:gd name="connsiteX51" fmla="*/ 1244600 w 1295400"/>
            <a:gd name="connsiteY51" fmla="*/ 1955800 h 2057400"/>
            <a:gd name="connsiteX52" fmla="*/ 1168400 w 1295400"/>
            <a:gd name="connsiteY52" fmla="*/ 1930400 h 2057400"/>
            <a:gd name="connsiteX53" fmla="*/ 1143000 w 1295400"/>
            <a:gd name="connsiteY53" fmla="*/ 1854200 h 2057400"/>
            <a:gd name="connsiteX54" fmla="*/ 1130300 w 1295400"/>
            <a:gd name="connsiteY54" fmla="*/ 1676400 h 2057400"/>
            <a:gd name="connsiteX55" fmla="*/ 1092200 w 1295400"/>
            <a:gd name="connsiteY55" fmla="*/ 1663700 h 2057400"/>
            <a:gd name="connsiteX56" fmla="*/ 1079500 w 1295400"/>
            <a:gd name="connsiteY56" fmla="*/ 1612900 h 2057400"/>
            <a:gd name="connsiteX57" fmla="*/ 1016000 w 1295400"/>
            <a:gd name="connsiteY57" fmla="*/ 1498600 h 2057400"/>
            <a:gd name="connsiteX58" fmla="*/ 1054100 w 1295400"/>
            <a:gd name="connsiteY58" fmla="*/ 1384300 h 2057400"/>
            <a:gd name="connsiteX59" fmla="*/ 1066800 w 1295400"/>
            <a:gd name="connsiteY59" fmla="*/ 1308100 h 2057400"/>
            <a:gd name="connsiteX60" fmla="*/ 1092200 w 1295400"/>
            <a:gd name="connsiteY60" fmla="*/ 1231900 h 2057400"/>
            <a:gd name="connsiteX61" fmla="*/ 1079500 w 1295400"/>
            <a:gd name="connsiteY61" fmla="*/ 1092200 h 2057400"/>
            <a:gd name="connsiteX62" fmla="*/ 1041400 w 1295400"/>
            <a:gd name="connsiteY62" fmla="*/ 1066800 h 2057400"/>
            <a:gd name="connsiteX63" fmla="*/ 1054100 w 1295400"/>
            <a:gd name="connsiteY63" fmla="*/ 927100 h 2057400"/>
            <a:gd name="connsiteX64" fmla="*/ 1066800 w 1295400"/>
            <a:gd name="connsiteY64" fmla="*/ 863600 h 2057400"/>
            <a:gd name="connsiteX65" fmla="*/ 1092200 w 1295400"/>
            <a:gd name="connsiteY65" fmla="*/ 736600 h 2057400"/>
            <a:gd name="connsiteX66" fmla="*/ 1066800 w 1295400"/>
            <a:gd name="connsiteY66" fmla="*/ 635000 h 2057400"/>
            <a:gd name="connsiteX67" fmla="*/ 1054100 w 1295400"/>
            <a:gd name="connsiteY67" fmla="*/ 596900 h 2057400"/>
            <a:gd name="connsiteX68" fmla="*/ 1016000 w 1295400"/>
            <a:gd name="connsiteY68" fmla="*/ 571500 h 2057400"/>
            <a:gd name="connsiteX69" fmla="*/ 990600 w 1295400"/>
            <a:gd name="connsiteY69" fmla="*/ 533400 h 2057400"/>
            <a:gd name="connsiteX70" fmla="*/ 1003300 w 1295400"/>
            <a:gd name="connsiteY70" fmla="*/ 482600 h 2057400"/>
            <a:gd name="connsiteX71" fmla="*/ 1041400 w 1295400"/>
            <a:gd name="connsiteY71" fmla="*/ 406400 h 2057400"/>
            <a:gd name="connsiteX72" fmla="*/ 1054100 w 1295400"/>
            <a:gd name="connsiteY72" fmla="*/ 368300 h 2057400"/>
            <a:gd name="connsiteX73" fmla="*/ 1079500 w 1295400"/>
            <a:gd name="connsiteY73" fmla="*/ 330200 h 2057400"/>
            <a:gd name="connsiteX74" fmla="*/ 1104900 w 1295400"/>
            <a:gd name="connsiteY74" fmla="*/ 254000 h 2057400"/>
            <a:gd name="connsiteX75" fmla="*/ 1079500 w 1295400"/>
            <a:gd name="connsiteY75" fmla="*/ 177800 h 2057400"/>
            <a:gd name="connsiteX76" fmla="*/ 1066800 w 1295400"/>
            <a:gd name="connsiteY76" fmla="*/ 139700 h 2057400"/>
            <a:gd name="connsiteX77" fmla="*/ 1016000 w 1295400"/>
            <a:gd name="connsiteY77" fmla="*/ 63500 h 2057400"/>
            <a:gd name="connsiteX78" fmla="*/ 990600 w 1295400"/>
            <a:gd name="connsiteY78" fmla="*/ 25400 h 2057400"/>
            <a:gd name="connsiteX79" fmla="*/ 965200 w 1295400"/>
            <a:gd name="connsiteY79"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1295400" h="2057400">
              <a:moveTo>
                <a:pt x="965200" y="0"/>
              </a:moveTo>
              <a:cubicBezTo>
                <a:pt x="952500" y="21167"/>
                <a:pt x="938139" y="41422"/>
                <a:pt x="927100" y="63500"/>
              </a:cubicBezTo>
              <a:cubicBezTo>
                <a:pt x="921113" y="75474"/>
                <a:pt x="921826" y="90461"/>
                <a:pt x="914400" y="101600"/>
              </a:cubicBezTo>
              <a:cubicBezTo>
                <a:pt x="904437" y="116544"/>
                <a:pt x="889000" y="127000"/>
                <a:pt x="876300" y="139700"/>
              </a:cubicBezTo>
              <a:cubicBezTo>
                <a:pt x="846073" y="230380"/>
                <a:pt x="873177" y="201048"/>
                <a:pt x="812800" y="241300"/>
              </a:cubicBezTo>
              <a:cubicBezTo>
                <a:pt x="804333" y="254000"/>
                <a:pt x="794226" y="265748"/>
                <a:pt x="787400" y="279400"/>
              </a:cubicBezTo>
              <a:cubicBezTo>
                <a:pt x="781413" y="291374"/>
                <a:pt x="782919" y="306933"/>
                <a:pt x="774700" y="317500"/>
              </a:cubicBezTo>
              <a:cubicBezTo>
                <a:pt x="752647" y="345854"/>
                <a:pt x="718425" y="363812"/>
                <a:pt x="698500" y="393700"/>
              </a:cubicBezTo>
              <a:cubicBezTo>
                <a:pt x="690033" y="406400"/>
                <a:pt x="683893" y="421007"/>
                <a:pt x="673100" y="431800"/>
              </a:cubicBezTo>
              <a:cubicBezTo>
                <a:pt x="662307" y="442593"/>
                <a:pt x="647700" y="448733"/>
                <a:pt x="635000" y="457200"/>
              </a:cubicBezTo>
              <a:cubicBezTo>
                <a:pt x="626533" y="469900"/>
                <a:pt x="617173" y="482048"/>
                <a:pt x="609600" y="495300"/>
              </a:cubicBezTo>
              <a:cubicBezTo>
                <a:pt x="600207" y="511738"/>
                <a:pt x="595204" y="530694"/>
                <a:pt x="584200" y="546100"/>
              </a:cubicBezTo>
              <a:cubicBezTo>
                <a:pt x="573761" y="560715"/>
                <a:pt x="557598" y="570402"/>
                <a:pt x="546100" y="584200"/>
              </a:cubicBezTo>
              <a:cubicBezTo>
                <a:pt x="493183" y="647700"/>
                <a:pt x="552450" y="601133"/>
                <a:pt x="482600" y="647700"/>
              </a:cubicBezTo>
              <a:cubicBezTo>
                <a:pt x="460247" y="714760"/>
                <a:pt x="477326" y="674661"/>
                <a:pt x="419100" y="762000"/>
              </a:cubicBezTo>
              <a:cubicBezTo>
                <a:pt x="409137" y="776944"/>
                <a:pt x="392027" y="785923"/>
                <a:pt x="381000" y="800100"/>
              </a:cubicBezTo>
              <a:cubicBezTo>
                <a:pt x="362258" y="824197"/>
                <a:pt x="347133" y="850900"/>
                <a:pt x="330200" y="876300"/>
              </a:cubicBezTo>
              <a:cubicBezTo>
                <a:pt x="321733" y="889000"/>
                <a:pt x="315593" y="903607"/>
                <a:pt x="304800" y="914400"/>
              </a:cubicBezTo>
              <a:lnTo>
                <a:pt x="266700" y="952500"/>
              </a:lnTo>
              <a:cubicBezTo>
                <a:pt x="256371" y="983488"/>
                <a:pt x="253219" y="1004081"/>
                <a:pt x="228600" y="1028700"/>
              </a:cubicBezTo>
              <a:cubicBezTo>
                <a:pt x="217807" y="1039493"/>
                <a:pt x="203200" y="1045633"/>
                <a:pt x="190500" y="1054100"/>
              </a:cubicBezTo>
              <a:cubicBezTo>
                <a:pt x="182033" y="1066800"/>
                <a:pt x="175241" y="1080792"/>
                <a:pt x="165100" y="1092200"/>
              </a:cubicBezTo>
              <a:cubicBezTo>
                <a:pt x="141235" y="1119048"/>
                <a:pt x="108825" y="1138512"/>
                <a:pt x="88900" y="1168400"/>
              </a:cubicBezTo>
              <a:lnTo>
                <a:pt x="38100" y="1244600"/>
              </a:lnTo>
              <a:cubicBezTo>
                <a:pt x="29633" y="1257300"/>
                <a:pt x="17527" y="1268220"/>
                <a:pt x="12700" y="1282700"/>
              </a:cubicBezTo>
              <a:lnTo>
                <a:pt x="0" y="1320800"/>
              </a:lnTo>
              <a:cubicBezTo>
                <a:pt x="38100" y="1346200"/>
                <a:pt x="42333" y="1341967"/>
                <a:pt x="63500" y="1384300"/>
              </a:cubicBezTo>
              <a:cubicBezTo>
                <a:pt x="69487" y="1396274"/>
                <a:pt x="66734" y="1412934"/>
                <a:pt x="76200" y="1422400"/>
              </a:cubicBezTo>
              <a:cubicBezTo>
                <a:pt x="85666" y="1431866"/>
                <a:pt x="101600" y="1430867"/>
                <a:pt x="114300" y="1435100"/>
              </a:cubicBezTo>
              <a:cubicBezTo>
                <a:pt x="127000" y="1443567"/>
                <a:pt x="138748" y="1453674"/>
                <a:pt x="152400" y="1460500"/>
              </a:cubicBezTo>
              <a:cubicBezTo>
                <a:pt x="164374" y="1466487"/>
                <a:pt x="181034" y="1463734"/>
                <a:pt x="190500" y="1473200"/>
              </a:cubicBezTo>
              <a:cubicBezTo>
                <a:pt x="199966" y="1482666"/>
                <a:pt x="192307" y="1503519"/>
                <a:pt x="203200" y="1511300"/>
              </a:cubicBezTo>
              <a:cubicBezTo>
                <a:pt x="224987" y="1526862"/>
                <a:pt x="279400" y="1536700"/>
                <a:pt x="279400" y="1536700"/>
              </a:cubicBezTo>
              <a:cubicBezTo>
                <a:pt x="292100" y="1545167"/>
                <a:pt x="306707" y="1551307"/>
                <a:pt x="317500" y="1562100"/>
              </a:cubicBezTo>
              <a:cubicBezTo>
                <a:pt x="328293" y="1572893"/>
                <a:pt x="330981" y="1590665"/>
                <a:pt x="342900" y="1600200"/>
              </a:cubicBezTo>
              <a:cubicBezTo>
                <a:pt x="353353" y="1608563"/>
                <a:pt x="368300" y="1608667"/>
                <a:pt x="381000" y="1612900"/>
              </a:cubicBezTo>
              <a:cubicBezTo>
                <a:pt x="393700" y="1621367"/>
                <a:pt x="405448" y="1631474"/>
                <a:pt x="419100" y="1638300"/>
              </a:cubicBezTo>
              <a:cubicBezTo>
                <a:pt x="476378" y="1666939"/>
                <a:pt x="440705" y="1630904"/>
                <a:pt x="495300" y="1676400"/>
              </a:cubicBezTo>
              <a:cubicBezTo>
                <a:pt x="509098" y="1687898"/>
                <a:pt x="519602" y="1703002"/>
                <a:pt x="533400" y="1714500"/>
              </a:cubicBezTo>
              <a:cubicBezTo>
                <a:pt x="566226" y="1741855"/>
                <a:pt x="571415" y="1739872"/>
                <a:pt x="609600" y="1752600"/>
              </a:cubicBezTo>
              <a:lnTo>
                <a:pt x="723900" y="1828800"/>
              </a:lnTo>
              <a:cubicBezTo>
                <a:pt x="735039" y="1836226"/>
                <a:pt x="749300" y="1837267"/>
                <a:pt x="762000" y="1841500"/>
              </a:cubicBezTo>
              <a:cubicBezTo>
                <a:pt x="849339" y="1899726"/>
                <a:pt x="809240" y="1882647"/>
                <a:pt x="876300" y="1905000"/>
              </a:cubicBezTo>
              <a:cubicBezTo>
                <a:pt x="985489" y="1977793"/>
                <a:pt x="847340" y="1890520"/>
                <a:pt x="952500" y="1943100"/>
              </a:cubicBezTo>
              <a:cubicBezTo>
                <a:pt x="966152" y="1949926"/>
                <a:pt x="976571" y="1962487"/>
                <a:pt x="990600" y="1968500"/>
              </a:cubicBezTo>
              <a:cubicBezTo>
                <a:pt x="1006643" y="1975376"/>
                <a:pt x="1024682" y="1976184"/>
                <a:pt x="1041400" y="1981200"/>
              </a:cubicBezTo>
              <a:cubicBezTo>
                <a:pt x="1067045" y="1988893"/>
                <a:pt x="1092200" y="1998133"/>
                <a:pt x="1117600" y="2006600"/>
              </a:cubicBezTo>
              <a:cubicBezTo>
                <a:pt x="1134159" y="2012120"/>
                <a:pt x="1151682" y="2014284"/>
                <a:pt x="1168400" y="2019300"/>
              </a:cubicBezTo>
              <a:cubicBezTo>
                <a:pt x="1194045" y="2026993"/>
                <a:pt x="1219200" y="2036233"/>
                <a:pt x="1244600" y="2044700"/>
              </a:cubicBezTo>
              <a:lnTo>
                <a:pt x="1282700" y="2057400"/>
              </a:lnTo>
              <a:cubicBezTo>
                <a:pt x="1286933" y="2044700"/>
                <a:pt x="1295400" y="2032687"/>
                <a:pt x="1295400" y="2019300"/>
              </a:cubicBezTo>
              <a:cubicBezTo>
                <a:pt x="1295400" y="1984106"/>
                <a:pt x="1273855" y="1968802"/>
                <a:pt x="1244600" y="1955800"/>
              </a:cubicBezTo>
              <a:cubicBezTo>
                <a:pt x="1220134" y="1944926"/>
                <a:pt x="1168400" y="1930400"/>
                <a:pt x="1168400" y="1930400"/>
              </a:cubicBezTo>
              <a:cubicBezTo>
                <a:pt x="1159933" y="1905000"/>
                <a:pt x="1144908" y="1880906"/>
                <a:pt x="1143000" y="1854200"/>
              </a:cubicBezTo>
              <a:cubicBezTo>
                <a:pt x="1138767" y="1794933"/>
                <a:pt x="1145610" y="1733811"/>
                <a:pt x="1130300" y="1676400"/>
              </a:cubicBezTo>
              <a:cubicBezTo>
                <a:pt x="1126851" y="1663465"/>
                <a:pt x="1104900" y="1667933"/>
                <a:pt x="1092200" y="1663700"/>
              </a:cubicBezTo>
              <a:cubicBezTo>
                <a:pt x="1087967" y="1646767"/>
                <a:pt x="1087306" y="1628512"/>
                <a:pt x="1079500" y="1612900"/>
              </a:cubicBezTo>
              <a:cubicBezTo>
                <a:pt x="992161" y="1438223"/>
                <a:pt x="1051120" y="1603961"/>
                <a:pt x="1016000" y="1498600"/>
              </a:cubicBezTo>
              <a:lnTo>
                <a:pt x="1054100" y="1384300"/>
              </a:lnTo>
              <a:cubicBezTo>
                <a:pt x="1062243" y="1359871"/>
                <a:pt x="1060555" y="1333082"/>
                <a:pt x="1066800" y="1308100"/>
              </a:cubicBezTo>
              <a:cubicBezTo>
                <a:pt x="1073294" y="1282125"/>
                <a:pt x="1092200" y="1231900"/>
                <a:pt x="1092200" y="1231900"/>
              </a:cubicBezTo>
              <a:cubicBezTo>
                <a:pt x="1087967" y="1185333"/>
                <a:pt x="1093251" y="1136891"/>
                <a:pt x="1079500" y="1092200"/>
              </a:cubicBezTo>
              <a:cubicBezTo>
                <a:pt x="1075011" y="1077611"/>
                <a:pt x="1043721" y="1081886"/>
                <a:pt x="1041400" y="1066800"/>
              </a:cubicBezTo>
              <a:cubicBezTo>
                <a:pt x="1034290" y="1020585"/>
                <a:pt x="1048300" y="973498"/>
                <a:pt x="1054100" y="927100"/>
              </a:cubicBezTo>
              <a:cubicBezTo>
                <a:pt x="1056777" y="905681"/>
                <a:pt x="1063251" y="884892"/>
                <a:pt x="1066800" y="863600"/>
              </a:cubicBezTo>
              <a:cubicBezTo>
                <a:pt x="1086258" y="746854"/>
                <a:pt x="1067859" y="809624"/>
                <a:pt x="1092200" y="736600"/>
              </a:cubicBezTo>
              <a:cubicBezTo>
                <a:pt x="1083733" y="702733"/>
                <a:pt x="1077839" y="668118"/>
                <a:pt x="1066800" y="635000"/>
              </a:cubicBezTo>
              <a:cubicBezTo>
                <a:pt x="1062567" y="622300"/>
                <a:pt x="1062463" y="607353"/>
                <a:pt x="1054100" y="596900"/>
              </a:cubicBezTo>
              <a:cubicBezTo>
                <a:pt x="1044565" y="584981"/>
                <a:pt x="1028700" y="579967"/>
                <a:pt x="1016000" y="571500"/>
              </a:cubicBezTo>
              <a:cubicBezTo>
                <a:pt x="1007533" y="558800"/>
                <a:pt x="992759" y="548510"/>
                <a:pt x="990600" y="533400"/>
              </a:cubicBezTo>
              <a:cubicBezTo>
                <a:pt x="988132" y="516121"/>
                <a:pt x="998505" y="499383"/>
                <a:pt x="1003300" y="482600"/>
              </a:cubicBezTo>
              <a:cubicBezTo>
                <a:pt x="1024581" y="408116"/>
                <a:pt x="1004294" y="480613"/>
                <a:pt x="1041400" y="406400"/>
              </a:cubicBezTo>
              <a:cubicBezTo>
                <a:pt x="1047387" y="394426"/>
                <a:pt x="1048113" y="380274"/>
                <a:pt x="1054100" y="368300"/>
              </a:cubicBezTo>
              <a:cubicBezTo>
                <a:pt x="1060926" y="354648"/>
                <a:pt x="1073301" y="344148"/>
                <a:pt x="1079500" y="330200"/>
              </a:cubicBezTo>
              <a:cubicBezTo>
                <a:pt x="1090374" y="305734"/>
                <a:pt x="1104900" y="254000"/>
                <a:pt x="1104900" y="254000"/>
              </a:cubicBezTo>
              <a:lnTo>
                <a:pt x="1079500" y="177800"/>
              </a:lnTo>
              <a:cubicBezTo>
                <a:pt x="1075267" y="165100"/>
                <a:pt x="1074226" y="150839"/>
                <a:pt x="1066800" y="139700"/>
              </a:cubicBezTo>
              <a:lnTo>
                <a:pt x="1016000" y="63500"/>
              </a:lnTo>
              <a:cubicBezTo>
                <a:pt x="1007533" y="50800"/>
                <a:pt x="1005080" y="30227"/>
                <a:pt x="990600" y="25400"/>
              </a:cubicBezTo>
              <a:lnTo>
                <a:pt x="9652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63500</xdr:colOff>
      <xdr:row>100</xdr:row>
      <xdr:rowOff>114300</xdr:rowOff>
    </xdr:from>
    <xdr:to>
      <xdr:col>6</xdr:col>
      <xdr:colOff>12700</xdr:colOff>
      <xdr:row>113</xdr:row>
      <xdr:rowOff>87369</xdr:rowOff>
    </xdr:to>
    <xdr:sp macro="" textlink="">
      <xdr:nvSpPr>
        <xdr:cNvPr id="73" name="Alberta"/>
        <xdr:cNvSpPr/>
      </xdr:nvSpPr>
      <xdr:spPr>
        <a:xfrm>
          <a:off x="2006600" y="16916400"/>
          <a:ext cx="1168400" cy="2119369"/>
        </a:xfrm>
        <a:custGeom>
          <a:avLst/>
          <a:gdLst>
            <a:gd name="connsiteX0" fmla="*/ 317500 w 1168400"/>
            <a:gd name="connsiteY0" fmla="*/ 0 h 2119369"/>
            <a:gd name="connsiteX1" fmla="*/ 419100 w 1168400"/>
            <a:gd name="connsiteY1" fmla="*/ 38100 h 2119369"/>
            <a:gd name="connsiteX2" fmla="*/ 508000 w 1168400"/>
            <a:gd name="connsiteY2" fmla="*/ 50800 h 2119369"/>
            <a:gd name="connsiteX3" fmla="*/ 609600 w 1168400"/>
            <a:gd name="connsiteY3" fmla="*/ 76200 h 2119369"/>
            <a:gd name="connsiteX4" fmla="*/ 685800 w 1168400"/>
            <a:gd name="connsiteY4" fmla="*/ 101600 h 2119369"/>
            <a:gd name="connsiteX5" fmla="*/ 723900 w 1168400"/>
            <a:gd name="connsiteY5" fmla="*/ 114300 h 2119369"/>
            <a:gd name="connsiteX6" fmla="*/ 812800 w 1168400"/>
            <a:gd name="connsiteY6" fmla="*/ 127000 h 2119369"/>
            <a:gd name="connsiteX7" fmla="*/ 939800 w 1168400"/>
            <a:gd name="connsiteY7" fmla="*/ 165100 h 2119369"/>
            <a:gd name="connsiteX8" fmla="*/ 977900 w 1168400"/>
            <a:gd name="connsiteY8" fmla="*/ 177800 h 2119369"/>
            <a:gd name="connsiteX9" fmla="*/ 1054100 w 1168400"/>
            <a:gd name="connsiteY9" fmla="*/ 190500 h 2119369"/>
            <a:gd name="connsiteX10" fmla="*/ 1130300 w 1168400"/>
            <a:gd name="connsiteY10" fmla="*/ 215900 h 2119369"/>
            <a:gd name="connsiteX11" fmla="*/ 1168400 w 1168400"/>
            <a:gd name="connsiteY11" fmla="*/ 228600 h 2119369"/>
            <a:gd name="connsiteX12" fmla="*/ 1155700 w 1168400"/>
            <a:gd name="connsiteY12" fmla="*/ 279400 h 2119369"/>
            <a:gd name="connsiteX13" fmla="*/ 1117600 w 1168400"/>
            <a:gd name="connsiteY13" fmla="*/ 292100 h 2119369"/>
            <a:gd name="connsiteX14" fmla="*/ 1079500 w 1168400"/>
            <a:gd name="connsiteY14" fmla="*/ 317500 h 2119369"/>
            <a:gd name="connsiteX15" fmla="*/ 1054100 w 1168400"/>
            <a:gd name="connsiteY15" fmla="*/ 355600 h 2119369"/>
            <a:gd name="connsiteX16" fmla="*/ 1130300 w 1168400"/>
            <a:gd name="connsiteY16" fmla="*/ 368300 h 2119369"/>
            <a:gd name="connsiteX17" fmla="*/ 1104900 w 1168400"/>
            <a:gd name="connsiteY17" fmla="*/ 622300 h 2119369"/>
            <a:gd name="connsiteX18" fmla="*/ 1092200 w 1168400"/>
            <a:gd name="connsiteY18" fmla="*/ 711200 h 2119369"/>
            <a:gd name="connsiteX19" fmla="*/ 1079500 w 1168400"/>
            <a:gd name="connsiteY19" fmla="*/ 762000 h 2119369"/>
            <a:gd name="connsiteX20" fmla="*/ 1066800 w 1168400"/>
            <a:gd name="connsiteY20" fmla="*/ 914400 h 2119369"/>
            <a:gd name="connsiteX21" fmla="*/ 1016000 w 1168400"/>
            <a:gd name="connsiteY21" fmla="*/ 1028700 h 2119369"/>
            <a:gd name="connsiteX22" fmla="*/ 1003300 w 1168400"/>
            <a:gd name="connsiteY22" fmla="*/ 1066800 h 2119369"/>
            <a:gd name="connsiteX23" fmla="*/ 990600 w 1168400"/>
            <a:gd name="connsiteY23" fmla="*/ 1333500 h 2119369"/>
            <a:gd name="connsiteX24" fmla="*/ 965200 w 1168400"/>
            <a:gd name="connsiteY24" fmla="*/ 1473200 h 2119369"/>
            <a:gd name="connsiteX25" fmla="*/ 952500 w 1168400"/>
            <a:gd name="connsiteY25" fmla="*/ 1701800 h 2119369"/>
            <a:gd name="connsiteX26" fmla="*/ 939800 w 1168400"/>
            <a:gd name="connsiteY26" fmla="*/ 1739900 h 2119369"/>
            <a:gd name="connsiteX27" fmla="*/ 927100 w 1168400"/>
            <a:gd name="connsiteY27" fmla="*/ 1816100 h 2119369"/>
            <a:gd name="connsiteX28" fmla="*/ 914400 w 1168400"/>
            <a:gd name="connsiteY28" fmla="*/ 1854200 h 2119369"/>
            <a:gd name="connsiteX29" fmla="*/ 901700 w 1168400"/>
            <a:gd name="connsiteY29" fmla="*/ 1905000 h 2119369"/>
            <a:gd name="connsiteX30" fmla="*/ 889000 w 1168400"/>
            <a:gd name="connsiteY30" fmla="*/ 2108200 h 2119369"/>
            <a:gd name="connsiteX31" fmla="*/ 508000 w 1168400"/>
            <a:gd name="connsiteY31" fmla="*/ 2070100 h 2119369"/>
            <a:gd name="connsiteX32" fmla="*/ 431800 w 1168400"/>
            <a:gd name="connsiteY32" fmla="*/ 2044700 h 2119369"/>
            <a:gd name="connsiteX33" fmla="*/ 406400 w 1168400"/>
            <a:gd name="connsiteY33" fmla="*/ 2006600 h 2119369"/>
            <a:gd name="connsiteX34" fmla="*/ 368300 w 1168400"/>
            <a:gd name="connsiteY34" fmla="*/ 1879600 h 2119369"/>
            <a:gd name="connsiteX35" fmla="*/ 317500 w 1168400"/>
            <a:gd name="connsiteY35" fmla="*/ 1765300 h 2119369"/>
            <a:gd name="connsiteX36" fmla="*/ 292100 w 1168400"/>
            <a:gd name="connsiteY36" fmla="*/ 1727200 h 2119369"/>
            <a:gd name="connsiteX37" fmla="*/ 266700 w 1168400"/>
            <a:gd name="connsiteY37" fmla="*/ 1651000 h 2119369"/>
            <a:gd name="connsiteX38" fmla="*/ 254000 w 1168400"/>
            <a:gd name="connsiteY38" fmla="*/ 1536700 h 2119369"/>
            <a:gd name="connsiteX39" fmla="*/ 228600 w 1168400"/>
            <a:gd name="connsiteY39" fmla="*/ 1498600 h 2119369"/>
            <a:gd name="connsiteX40" fmla="*/ 203200 w 1168400"/>
            <a:gd name="connsiteY40" fmla="*/ 1422400 h 2119369"/>
            <a:gd name="connsiteX41" fmla="*/ 177800 w 1168400"/>
            <a:gd name="connsiteY41" fmla="*/ 1384300 h 2119369"/>
            <a:gd name="connsiteX42" fmla="*/ 165100 w 1168400"/>
            <a:gd name="connsiteY42" fmla="*/ 1346200 h 2119369"/>
            <a:gd name="connsiteX43" fmla="*/ 114300 w 1168400"/>
            <a:gd name="connsiteY43" fmla="*/ 1270000 h 2119369"/>
            <a:gd name="connsiteX44" fmla="*/ 50800 w 1168400"/>
            <a:gd name="connsiteY44" fmla="*/ 1219200 h 2119369"/>
            <a:gd name="connsiteX45" fmla="*/ 12700 w 1168400"/>
            <a:gd name="connsiteY45" fmla="*/ 1143000 h 2119369"/>
            <a:gd name="connsiteX46" fmla="*/ 0 w 1168400"/>
            <a:gd name="connsiteY46" fmla="*/ 1104900 h 2119369"/>
            <a:gd name="connsiteX47" fmla="*/ 25400 w 1168400"/>
            <a:gd name="connsiteY47" fmla="*/ 914400 h 2119369"/>
            <a:gd name="connsiteX48" fmla="*/ 38100 w 1168400"/>
            <a:gd name="connsiteY48" fmla="*/ 850900 h 2119369"/>
            <a:gd name="connsiteX49" fmla="*/ 50800 w 1168400"/>
            <a:gd name="connsiteY49" fmla="*/ 800100 h 2119369"/>
            <a:gd name="connsiteX50" fmla="*/ 63500 w 1168400"/>
            <a:gd name="connsiteY50" fmla="*/ 723900 h 2119369"/>
            <a:gd name="connsiteX51" fmla="*/ 88900 w 1168400"/>
            <a:gd name="connsiteY51" fmla="*/ 647700 h 2119369"/>
            <a:gd name="connsiteX52" fmla="*/ 114300 w 1168400"/>
            <a:gd name="connsiteY52" fmla="*/ 571500 h 2119369"/>
            <a:gd name="connsiteX53" fmla="*/ 152400 w 1168400"/>
            <a:gd name="connsiteY53" fmla="*/ 457200 h 2119369"/>
            <a:gd name="connsiteX54" fmla="*/ 165100 w 1168400"/>
            <a:gd name="connsiteY54" fmla="*/ 419100 h 2119369"/>
            <a:gd name="connsiteX55" fmla="*/ 190500 w 1168400"/>
            <a:gd name="connsiteY55" fmla="*/ 317500 h 2119369"/>
            <a:gd name="connsiteX56" fmla="*/ 215900 w 1168400"/>
            <a:gd name="connsiteY56" fmla="*/ 241300 h 2119369"/>
            <a:gd name="connsiteX57" fmla="*/ 228600 w 1168400"/>
            <a:gd name="connsiteY57" fmla="*/ 203200 h 2119369"/>
            <a:gd name="connsiteX58" fmla="*/ 241300 w 1168400"/>
            <a:gd name="connsiteY58" fmla="*/ 165100 h 2119369"/>
            <a:gd name="connsiteX59" fmla="*/ 279400 w 1168400"/>
            <a:gd name="connsiteY59" fmla="*/ 38100 h 2119369"/>
            <a:gd name="connsiteX60" fmla="*/ 317500 w 1168400"/>
            <a:gd name="connsiteY60" fmla="*/ 0 h 2119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Lst>
          <a:rect l="l" t="t" r="r" b="b"/>
          <a:pathLst>
            <a:path w="1168400" h="2119369">
              <a:moveTo>
                <a:pt x="317500" y="0"/>
              </a:moveTo>
              <a:cubicBezTo>
                <a:pt x="340783" y="0"/>
                <a:pt x="399191" y="34118"/>
                <a:pt x="419100" y="38100"/>
              </a:cubicBezTo>
              <a:cubicBezTo>
                <a:pt x="448453" y="43971"/>
                <a:pt x="478647" y="44929"/>
                <a:pt x="508000" y="50800"/>
              </a:cubicBezTo>
              <a:cubicBezTo>
                <a:pt x="542231" y="57646"/>
                <a:pt x="575733" y="67733"/>
                <a:pt x="609600" y="76200"/>
              </a:cubicBezTo>
              <a:cubicBezTo>
                <a:pt x="635575" y="82694"/>
                <a:pt x="660400" y="93133"/>
                <a:pt x="685800" y="101600"/>
              </a:cubicBezTo>
              <a:cubicBezTo>
                <a:pt x="698500" y="105833"/>
                <a:pt x="710648" y="112407"/>
                <a:pt x="723900" y="114300"/>
              </a:cubicBezTo>
              <a:lnTo>
                <a:pt x="812800" y="127000"/>
              </a:lnTo>
              <a:cubicBezTo>
                <a:pt x="993884" y="187361"/>
                <a:pt x="805445" y="126713"/>
                <a:pt x="939800" y="165100"/>
              </a:cubicBezTo>
              <a:cubicBezTo>
                <a:pt x="952672" y="168778"/>
                <a:pt x="964832" y="174896"/>
                <a:pt x="977900" y="177800"/>
              </a:cubicBezTo>
              <a:cubicBezTo>
                <a:pt x="1003037" y="183386"/>
                <a:pt x="1028700" y="186267"/>
                <a:pt x="1054100" y="190500"/>
              </a:cubicBezTo>
              <a:lnTo>
                <a:pt x="1130300" y="215900"/>
              </a:lnTo>
              <a:lnTo>
                <a:pt x="1168400" y="228600"/>
              </a:lnTo>
              <a:cubicBezTo>
                <a:pt x="1164167" y="245533"/>
                <a:pt x="1166604" y="265770"/>
                <a:pt x="1155700" y="279400"/>
              </a:cubicBezTo>
              <a:cubicBezTo>
                <a:pt x="1147337" y="289853"/>
                <a:pt x="1129574" y="286113"/>
                <a:pt x="1117600" y="292100"/>
              </a:cubicBezTo>
              <a:cubicBezTo>
                <a:pt x="1103948" y="298926"/>
                <a:pt x="1092200" y="309033"/>
                <a:pt x="1079500" y="317500"/>
              </a:cubicBezTo>
              <a:cubicBezTo>
                <a:pt x="1071033" y="330200"/>
                <a:pt x="1051107" y="340633"/>
                <a:pt x="1054100" y="355600"/>
              </a:cubicBezTo>
              <a:cubicBezTo>
                <a:pt x="1063332" y="401761"/>
                <a:pt x="1112808" y="374131"/>
                <a:pt x="1130300" y="368300"/>
              </a:cubicBezTo>
              <a:cubicBezTo>
                <a:pt x="1117923" y="516830"/>
                <a:pt x="1121809" y="495481"/>
                <a:pt x="1104900" y="622300"/>
              </a:cubicBezTo>
              <a:cubicBezTo>
                <a:pt x="1100944" y="651972"/>
                <a:pt x="1097555" y="681749"/>
                <a:pt x="1092200" y="711200"/>
              </a:cubicBezTo>
              <a:cubicBezTo>
                <a:pt x="1089078" y="728373"/>
                <a:pt x="1083733" y="745067"/>
                <a:pt x="1079500" y="762000"/>
              </a:cubicBezTo>
              <a:cubicBezTo>
                <a:pt x="1075267" y="812800"/>
                <a:pt x="1075180" y="864118"/>
                <a:pt x="1066800" y="914400"/>
              </a:cubicBezTo>
              <a:cubicBezTo>
                <a:pt x="1050418" y="1012694"/>
                <a:pt x="1048359" y="963982"/>
                <a:pt x="1016000" y="1028700"/>
              </a:cubicBezTo>
              <a:cubicBezTo>
                <a:pt x="1010013" y="1040674"/>
                <a:pt x="1007533" y="1054100"/>
                <a:pt x="1003300" y="1066800"/>
              </a:cubicBezTo>
              <a:cubicBezTo>
                <a:pt x="1038680" y="1172941"/>
                <a:pt x="1026438" y="1118473"/>
                <a:pt x="990600" y="1333500"/>
              </a:cubicBezTo>
              <a:cubicBezTo>
                <a:pt x="974351" y="1430992"/>
                <a:pt x="982950" y="1384450"/>
                <a:pt x="965200" y="1473200"/>
              </a:cubicBezTo>
              <a:cubicBezTo>
                <a:pt x="960967" y="1549400"/>
                <a:pt x="959736" y="1625826"/>
                <a:pt x="952500" y="1701800"/>
              </a:cubicBezTo>
              <a:cubicBezTo>
                <a:pt x="951231" y="1715127"/>
                <a:pt x="942704" y="1726832"/>
                <a:pt x="939800" y="1739900"/>
              </a:cubicBezTo>
              <a:cubicBezTo>
                <a:pt x="934214" y="1765037"/>
                <a:pt x="932686" y="1790963"/>
                <a:pt x="927100" y="1816100"/>
              </a:cubicBezTo>
              <a:cubicBezTo>
                <a:pt x="924196" y="1829168"/>
                <a:pt x="918078" y="1841328"/>
                <a:pt x="914400" y="1854200"/>
              </a:cubicBezTo>
              <a:cubicBezTo>
                <a:pt x="909605" y="1870983"/>
                <a:pt x="905933" y="1888067"/>
                <a:pt x="901700" y="1905000"/>
              </a:cubicBezTo>
              <a:cubicBezTo>
                <a:pt x="897467" y="1972733"/>
                <a:pt x="944224" y="2068754"/>
                <a:pt x="889000" y="2108200"/>
              </a:cubicBezTo>
              <a:cubicBezTo>
                <a:pt x="840254" y="2143018"/>
                <a:pt x="591639" y="2086828"/>
                <a:pt x="508000" y="2070100"/>
              </a:cubicBezTo>
              <a:cubicBezTo>
                <a:pt x="481746" y="2064849"/>
                <a:pt x="431800" y="2044700"/>
                <a:pt x="431800" y="2044700"/>
              </a:cubicBezTo>
              <a:cubicBezTo>
                <a:pt x="423333" y="2032000"/>
                <a:pt x="412413" y="2020629"/>
                <a:pt x="406400" y="2006600"/>
              </a:cubicBezTo>
              <a:cubicBezTo>
                <a:pt x="385102" y="1956904"/>
                <a:pt x="402448" y="1930822"/>
                <a:pt x="368300" y="1879600"/>
              </a:cubicBezTo>
              <a:cubicBezTo>
                <a:pt x="328048" y="1819223"/>
                <a:pt x="347727" y="1855980"/>
                <a:pt x="317500" y="1765300"/>
              </a:cubicBezTo>
              <a:cubicBezTo>
                <a:pt x="312673" y="1750820"/>
                <a:pt x="298299" y="1741148"/>
                <a:pt x="292100" y="1727200"/>
              </a:cubicBezTo>
              <a:cubicBezTo>
                <a:pt x="281226" y="1702734"/>
                <a:pt x="266700" y="1651000"/>
                <a:pt x="266700" y="1651000"/>
              </a:cubicBezTo>
              <a:cubicBezTo>
                <a:pt x="262467" y="1612900"/>
                <a:pt x="263297" y="1573890"/>
                <a:pt x="254000" y="1536700"/>
              </a:cubicBezTo>
              <a:cubicBezTo>
                <a:pt x="250298" y="1521892"/>
                <a:pt x="234799" y="1512548"/>
                <a:pt x="228600" y="1498600"/>
              </a:cubicBezTo>
              <a:cubicBezTo>
                <a:pt x="217726" y="1474134"/>
                <a:pt x="218052" y="1444677"/>
                <a:pt x="203200" y="1422400"/>
              </a:cubicBezTo>
              <a:cubicBezTo>
                <a:pt x="194733" y="1409700"/>
                <a:pt x="184626" y="1397952"/>
                <a:pt x="177800" y="1384300"/>
              </a:cubicBezTo>
              <a:cubicBezTo>
                <a:pt x="171813" y="1372326"/>
                <a:pt x="171601" y="1357902"/>
                <a:pt x="165100" y="1346200"/>
              </a:cubicBezTo>
              <a:cubicBezTo>
                <a:pt x="150275" y="1319515"/>
                <a:pt x="131233" y="1295400"/>
                <a:pt x="114300" y="1270000"/>
              </a:cubicBezTo>
              <a:cubicBezTo>
                <a:pt x="81474" y="1220761"/>
                <a:pt x="103380" y="1236727"/>
                <a:pt x="50800" y="1219200"/>
              </a:cubicBezTo>
              <a:cubicBezTo>
                <a:pt x="18878" y="1123435"/>
                <a:pt x="61939" y="1241477"/>
                <a:pt x="12700" y="1143000"/>
              </a:cubicBezTo>
              <a:cubicBezTo>
                <a:pt x="6713" y="1131026"/>
                <a:pt x="4233" y="1117600"/>
                <a:pt x="0" y="1104900"/>
              </a:cubicBezTo>
              <a:cubicBezTo>
                <a:pt x="11502" y="1001378"/>
                <a:pt x="9112" y="1003982"/>
                <a:pt x="25400" y="914400"/>
              </a:cubicBezTo>
              <a:cubicBezTo>
                <a:pt x="29261" y="893162"/>
                <a:pt x="33417" y="871972"/>
                <a:pt x="38100" y="850900"/>
              </a:cubicBezTo>
              <a:cubicBezTo>
                <a:pt x="41886" y="833861"/>
                <a:pt x="47377" y="817216"/>
                <a:pt x="50800" y="800100"/>
              </a:cubicBezTo>
              <a:cubicBezTo>
                <a:pt x="55850" y="774850"/>
                <a:pt x="57255" y="748882"/>
                <a:pt x="63500" y="723900"/>
              </a:cubicBezTo>
              <a:cubicBezTo>
                <a:pt x="69994" y="697925"/>
                <a:pt x="80433" y="673100"/>
                <a:pt x="88900" y="647700"/>
              </a:cubicBezTo>
              <a:lnTo>
                <a:pt x="114300" y="571500"/>
              </a:lnTo>
              <a:lnTo>
                <a:pt x="152400" y="457200"/>
              </a:lnTo>
              <a:cubicBezTo>
                <a:pt x="156633" y="444500"/>
                <a:pt x="161853" y="432087"/>
                <a:pt x="165100" y="419100"/>
              </a:cubicBezTo>
              <a:lnTo>
                <a:pt x="190500" y="317500"/>
              </a:lnTo>
              <a:cubicBezTo>
                <a:pt x="196994" y="291525"/>
                <a:pt x="207433" y="266700"/>
                <a:pt x="215900" y="241300"/>
              </a:cubicBezTo>
              <a:lnTo>
                <a:pt x="228600" y="203200"/>
              </a:lnTo>
              <a:cubicBezTo>
                <a:pt x="232833" y="190500"/>
                <a:pt x="238053" y="178087"/>
                <a:pt x="241300" y="165100"/>
              </a:cubicBezTo>
              <a:cubicBezTo>
                <a:pt x="260494" y="88325"/>
                <a:pt x="248480" y="130859"/>
                <a:pt x="279400" y="38100"/>
              </a:cubicBezTo>
              <a:cubicBezTo>
                <a:pt x="283186" y="26741"/>
                <a:pt x="294217" y="0"/>
                <a:pt x="31750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342318</xdr:colOff>
      <xdr:row>102</xdr:row>
      <xdr:rowOff>7770</xdr:rowOff>
    </xdr:from>
    <xdr:to>
      <xdr:col>7</xdr:col>
      <xdr:colOff>114797</xdr:colOff>
      <xdr:row>114</xdr:row>
      <xdr:rowOff>12700</xdr:rowOff>
    </xdr:to>
    <xdr:sp macro="" textlink="">
      <xdr:nvSpPr>
        <xdr:cNvPr id="74" name="Saskatchewan"/>
        <xdr:cNvSpPr/>
      </xdr:nvSpPr>
      <xdr:spPr>
        <a:xfrm>
          <a:off x="2895018" y="17140070"/>
          <a:ext cx="991679" cy="1986130"/>
        </a:xfrm>
        <a:custGeom>
          <a:avLst/>
          <a:gdLst>
            <a:gd name="connsiteX0" fmla="*/ 13282 w 991679"/>
            <a:gd name="connsiteY0" fmla="*/ 1884530 h 1986130"/>
            <a:gd name="connsiteX1" fmla="*/ 76782 w 991679"/>
            <a:gd name="connsiteY1" fmla="*/ 1897230 h 1986130"/>
            <a:gd name="connsiteX2" fmla="*/ 114882 w 991679"/>
            <a:gd name="connsiteY2" fmla="*/ 1909930 h 1986130"/>
            <a:gd name="connsiteX3" fmla="*/ 381582 w 991679"/>
            <a:gd name="connsiteY3" fmla="*/ 1935330 h 1986130"/>
            <a:gd name="connsiteX4" fmla="*/ 686382 w 991679"/>
            <a:gd name="connsiteY4" fmla="*/ 1960730 h 1986130"/>
            <a:gd name="connsiteX5" fmla="*/ 775282 w 991679"/>
            <a:gd name="connsiteY5" fmla="*/ 1973430 h 1986130"/>
            <a:gd name="connsiteX6" fmla="*/ 851482 w 991679"/>
            <a:gd name="connsiteY6" fmla="*/ 1986130 h 1986130"/>
            <a:gd name="connsiteX7" fmla="*/ 965782 w 991679"/>
            <a:gd name="connsiteY7" fmla="*/ 1973430 h 1986130"/>
            <a:gd name="connsiteX8" fmla="*/ 978482 w 991679"/>
            <a:gd name="connsiteY8" fmla="*/ 1808330 h 1986130"/>
            <a:gd name="connsiteX9" fmla="*/ 991182 w 991679"/>
            <a:gd name="connsiteY9" fmla="*/ 1668630 h 1986130"/>
            <a:gd name="connsiteX10" fmla="*/ 965782 w 991679"/>
            <a:gd name="connsiteY10" fmla="*/ 1198730 h 1986130"/>
            <a:gd name="connsiteX11" fmla="*/ 978482 w 991679"/>
            <a:gd name="connsiteY11" fmla="*/ 462130 h 1986130"/>
            <a:gd name="connsiteX12" fmla="*/ 965782 w 991679"/>
            <a:gd name="connsiteY12" fmla="*/ 157330 h 1986130"/>
            <a:gd name="connsiteX13" fmla="*/ 953082 w 991679"/>
            <a:gd name="connsiteY13" fmla="*/ 55730 h 1986130"/>
            <a:gd name="connsiteX14" fmla="*/ 902282 w 991679"/>
            <a:gd name="connsiteY14" fmla="*/ 43030 h 1986130"/>
            <a:gd name="connsiteX15" fmla="*/ 737182 w 991679"/>
            <a:gd name="connsiteY15" fmla="*/ 17630 h 1986130"/>
            <a:gd name="connsiteX16" fmla="*/ 381582 w 991679"/>
            <a:gd name="connsiteY16" fmla="*/ 17630 h 1986130"/>
            <a:gd name="connsiteX17" fmla="*/ 305382 w 991679"/>
            <a:gd name="connsiteY17" fmla="*/ 4930 h 1986130"/>
            <a:gd name="connsiteX18" fmla="*/ 318082 w 991679"/>
            <a:gd name="connsiteY18" fmla="*/ 43030 h 1986130"/>
            <a:gd name="connsiteX19" fmla="*/ 445082 w 991679"/>
            <a:gd name="connsiteY19" fmla="*/ 81130 h 1986130"/>
            <a:gd name="connsiteX20" fmla="*/ 432382 w 991679"/>
            <a:gd name="connsiteY20" fmla="*/ 119230 h 1986130"/>
            <a:gd name="connsiteX21" fmla="*/ 343482 w 991679"/>
            <a:gd name="connsiteY21" fmla="*/ 93830 h 1986130"/>
            <a:gd name="connsiteX22" fmla="*/ 267282 w 991679"/>
            <a:gd name="connsiteY22" fmla="*/ 131930 h 1986130"/>
            <a:gd name="connsiteX23" fmla="*/ 229182 w 991679"/>
            <a:gd name="connsiteY23" fmla="*/ 284330 h 1986130"/>
            <a:gd name="connsiteX24" fmla="*/ 216482 w 991679"/>
            <a:gd name="connsiteY24" fmla="*/ 385930 h 1986130"/>
            <a:gd name="connsiteX25" fmla="*/ 203782 w 991679"/>
            <a:gd name="connsiteY25" fmla="*/ 512930 h 1986130"/>
            <a:gd name="connsiteX26" fmla="*/ 191082 w 991679"/>
            <a:gd name="connsiteY26" fmla="*/ 563730 h 1986130"/>
            <a:gd name="connsiteX27" fmla="*/ 178382 w 991679"/>
            <a:gd name="connsiteY27" fmla="*/ 639930 h 1986130"/>
            <a:gd name="connsiteX28" fmla="*/ 165682 w 991679"/>
            <a:gd name="connsiteY28" fmla="*/ 754230 h 1986130"/>
            <a:gd name="connsiteX29" fmla="*/ 140282 w 991679"/>
            <a:gd name="connsiteY29" fmla="*/ 830430 h 1986130"/>
            <a:gd name="connsiteX30" fmla="*/ 127582 w 991679"/>
            <a:gd name="connsiteY30" fmla="*/ 881230 h 1986130"/>
            <a:gd name="connsiteX31" fmla="*/ 102182 w 991679"/>
            <a:gd name="connsiteY31" fmla="*/ 1084430 h 1986130"/>
            <a:gd name="connsiteX32" fmla="*/ 89482 w 991679"/>
            <a:gd name="connsiteY32" fmla="*/ 1160630 h 1986130"/>
            <a:gd name="connsiteX33" fmla="*/ 76782 w 991679"/>
            <a:gd name="connsiteY33" fmla="*/ 1224130 h 1986130"/>
            <a:gd name="connsiteX34" fmla="*/ 64082 w 991679"/>
            <a:gd name="connsiteY34" fmla="*/ 1351130 h 1986130"/>
            <a:gd name="connsiteX35" fmla="*/ 38682 w 991679"/>
            <a:gd name="connsiteY35" fmla="*/ 1389230 h 1986130"/>
            <a:gd name="connsiteX36" fmla="*/ 25982 w 991679"/>
            <a:gd name="connsiteY36" fmla="*/ 1567030 h 1986130"/>
            <a:gd name="connsiteX37" fmla="*/ 582 w 991679"/>
            <a:gd name="connsiteY37" fmla="*/ 1795630 h 1986130"/>
            <a:gd name="connsiteX38" fmla="*/ 13282 w 991679"/>
            <a:gd name="connsiteY38" fmla="*/ 1884530 h 1986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991679" h="1986130">
              <a:moveTo>
                <a:pt x="13282" y="1884530"/>
              </a:moveTo>
              <a:cubicBezTo>
                <a:pt x="25982" y="1901463"/>
                <a:pt x="55841" y="1891995"/>
                <a:pt x="76782" y="1897230"/>
              </a:cubicBezTo>
              <a:cubicBezTo>
                <a:pt x="89769" y="1900477"/>
                <a:pt x="101598" y="1908270"/>
                <a:pt x="114882" y="1909930"/>
              </a:cubicBezTo>
              <a:cubicBezTo>
                <a:pt x="203495" y="1921007"/>
                <a:pt x="292969" y="1924253"/>
                <a:pt x="381582" y="1935330"/>
              </a:cubicBezTo>
              <a:cubicBezTo>
                <a:pt x="550523" y="1956448"/>
                <a:pt x="449118" y="1945901"/>
                <a:pt x="686382" y="1960730"/>
              </a:cubicBezTo>
              <a:lnTo>
                <a:pt x="775282" y="1973430"/>
              </a:lnTo>
              <a:cubicBezTo>
                <a:pt x="800733" y="1977346"/>
                <a:pt x="825732" y="1986130"/>
                <a:pt x="851482" y="1986130"/>
              </a:cubicBezTo>
              <a:cubicBezTo>
                <a:pt x="889816" y="1986130"/>
                <a:pt x="927682" y="1977663"/>
                <a:pt x="965782" y="1973430"/>
              </a:cubicBezTo>
              <a:cubicBezTo>
                <a:pt x="970015" y="1918397"/>
                <a:pt x="973898" y="1863335"/>
                <a:pt x="978482" y="1808330"/>
              </a:cubicBezTo>
              <a:cubicBezTo>
                <a:pt x="982365" y="1761733"/>
                <a:pt x="991182" y="1715389"/>
                <a:pt x="991182" y="1668630"/>
              </a:cubicBezTo>
              <a:cubicBezTo>
                <a:pt x="991182" y="1330374"/>
                <a:pt x="997414" y="1388524"/>
                <a:pt x="965782" y="1198730"/>
              </a:cubicBezTo>
              <a:cubicBezTo>
                <a:pt x="970015" y="953197"/>
                <a:pt x="978482" y="707700"/>
                <a:pt x="978482" y="462130"/>
              </a:cubicBezTo>
              <a:cubicBezTo>
                <a:pt x="978482" y="360442"/>
                <a:pt x="972125" y="258820"/>
                <a:pt x="965782" y="157330"/>
              </a:cubicBezTo>
              <a:cubicBezTo>
                <a:pt x="963653" y="123266"/>
                <a:pt x="969657" y="85565"/>
                <a:pt x="953082" y="55730"/>
              </a:cubicBezTo>
              <a:cubicBezTo>
                <a:pt x="944605" y="40472"/>
                <a:pt x="919065" y="47825"/>
                <a:pt x="902282" y="43030"/>
              </a:cubicBezTo>
              <a:cubicBezTo>
                <a:pt x="803703" y="14864"/>
                <a:pt x="941439" y="38056"/>
                <a:pt x="737182" y="17630"/>
              </a:cubicBezTo>
              <a:cubicBezTo>
                <a:pt x="578511" y="-22038"/>
                <a:pt x="757528" y="17630"/>
                <a:pt x="381582" y="17630"/>
              </a:cubicBezTo>
              <a:cubicBezTo>
                <a:pt x="355832" y="17630"/>
                <a:pt x="330782" y="9163"/>
                <a:pt x="305382" y="4930"/>
              </a:cubicBezTo>
              <a:cubicBezTo>
                <a:pt x="309615" y="17630"/>
                <a:pt x="307189" y="35249"/>
                <a:pt x="318082" y="43030"/>
              </a:cubicBezTo>
              <a:cubicBezTo>
                <a:pt x="334731" y="54922"/>
                <a:pt x="417925" y="74341"/>
                <a:pt x="445082" y="81130"/>
              </a:cubicBezTo>
              <a:cubicBezTo>
                <a:pt x="440849" y="93830"/>
                <a:pt x="444811" y="114258"/>
                <a:pt x="432382" y="119230"/>
              </a:cubicBezTo>
              <a:cubicBezTo>
                <a:pt x="425133" y="122129"/>
                <a:pt x="354778" y="97595"/>
                <a:pt x="343482" y="93830"/>
              </a:cubicBezTo>
              <a:cubicBezTo>
                <a:pt x="322722" y="100750"/>
                <a:pt x="280240" y="111198"/>
                <a:pt x="267282" y="131930"/>
              </a:cubicBezTo>
              <a:cubicBezTo>
                <a:pt x="245728" y="166416"/>
                <a:pt x="234753" y="245335"/>
                <a:pt x="229182" y="284330"/>
              </a:cubicBezTo>
              <a:cubicBezTo>
                <a:pt x="224355" y="318117"/>
                <a:pt x="220251" y="352009"/>
                <a:pt x="216482" y="385930"/>
              </a:cubicBezTo>
              <a:cubicBezTo>
                <a:pt x="211784" y="428214"/>
                <a:pt x="209799" y="470813"/>
                <a:pt x="203782" y="512930"/>
              </a:cubicBezTo>
              <a:cubicBezTo>
                <a:pt x="201314" y="530209"/>
                <a:pt x="194505" y="546614"/>
                <a:pt x="191082" y="563730"/>
              </a:cubicBezTo>
              <a:cubicBezTo>
                <a:pt x="186032" y="588980"/>
                <a:pt x="181785" y="614406"/>
                <a:pt x="178382" y="639930"/>
              </a:cubicBezTo>
              <a:cubicBezTo>
                <a:pt x="173316" y="677928"/>
                <a:pt x="173200" y="716640"/>
                <a:pt x="165682" y="754230"/>
              </a:cubicBezTo>
              <a:cubicBezTo>
                <a:pt x="160431" y="780484"/>
                <a:pt x="148749" y="805030"/>
                <a:pt x="140282" y="830430"/>
              </a:cubicBezTo>
              <a:cubicBezTo>
                <a:pt x="134762" y="846989"/>
                <a:pt x="131005" y="864114"/>
                <a:pt x="127582" y="881230"/>
              </a:cubicBezTo>
              <a:cubicBezTo>
                <a:pt x="108294" y="977670"/>
                <a:pt x="116773" y="967703"/>
                <a:pt x="102182" y="1084430"/>
              </a:cubicBezTo>
              <a:cubicBezTo>
                <a:pt x="98988" y="1109982"/>
                <a:pt x="94088" y="1135295"/>
                <a:pt x="89482" y="1160630"/>
              </a:cubicBezTo>
              <a:cubicBezTo>
                <a:pt x="85621" y="1181868"/>
                <a:pt x="79635" y="1202734"/>
                <a:pt x="76782" y="1224130"/>
              </a:cubicBezTo>
              <a:cubicBezTo>
                <a:pt x="71159" y="1266301"/>
                <a:pt x="73649" y="1309675"/>
                <a:pt x="64082" y="1351130"/>
              </a:cubicBezTo>
              <a:cubicBezTo>
                <a:pt x="60650" y="1366003"/>
                <a:pt x="47149" y="1376530"/>
                <a:pt x="38682" y="1389230"/>
              </a:cubicBezTo>
              <a:cubicBezTo>
                <a:pt x="34449" y="1448497"/>
                <a:pt x="31615" y="1507880"/>
                <a:pt x="25982" y="1567030"/>
              </a:cubicBezTo>
              <a:cubicBezTo>
                <a:pt x="8002" y="1755820"/>
                <a:pt x="13910" y="1542392"/>
                <a:pt x="582" y="1795630"/>
              </a:cubicBezTo>
              <a:cubicBezTo>
                <a:pt x="-1198" y="1829450"/>
                <a:pt x="582" y="1867597"/>
                <a:pt x="13282" y="188453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54971</xdr:colOff>
      <xdr:row>101</xdr:row>
      <xdr:rowOff>152400</xdr:rowOff>
    </xdr:from>
    <xdr:to>
      <xdr:col>9</xdr:col>
      <xdr:colOff>165100</xdr:colOff>
      <xdr:row>114</xdr:row>
      <xdr:rowOff>20639</xdr:rowOff>
    </xdr:to>
    <xdr:sp macro="" textlink="">
      <xdr:nvSpPr>
        <xdr:cNvPr id="76" name="Manitoba"/>
        <xdr:cNvSpPr/>
      </xdr:nvSpPr>
      <xdr:spPr>
        <a:xfrm>
          <a:off x="3826871" y="17119600"/>
          <a:ext cx="1329329" cy="2014539"/>
        </a:xfrm>
        <a:custGeom>
          <a:avLst/>
          <a:gdLst>
            <a:gd name="connsiteX0" fmla="*/ 46629 w 1329329"/>
            <a:gd name="connsiteY0" fmla="*/ 2006600 h 2014539"/>
            <a:gd name="connsiteX1" fmla="*/ 351429 w 1329329"/>
            <a:gd name="connsiteY1" fmla="*/ 1993900 h 2014539"/>
            <a:gd name="connsiteX2" fmla="*/ 427629 w 1329329"/>
            <a:gd name="connsiteY2" fmla="*/ 1981200 h 2014539"/>
            <a:gd name="connsiteX3" fmla="*/ 580029 w 1329329"/>
            <a:gd name="connsiteY3" fmla="*/ 1968500 h 2014539"/>
            <a:gd name="connsiteX4" fmla="*/ 834029 w 1329329"/>
            <a:gd name="connsiteY4" fmla="*/ 1968500 h 2014539"/>
            <a:gd name="connsiteX5" fmla="*/ 821329 w 1329329"/>
            <a:gd name="connsiteY5" fmla="*/ 1866900 h 2014539"/>
            <a:gd name="connsiteX6" fmla="*/ 808629 w 1329329"/>
            <a:gd name="connsiteY6" fmla="*/ 1828800 h 2014539"/>
            <a:gd name="connsiteX7" fmla="*/ 795929 w 1329329"/>
            <a:gd name="connsiteY7" fmla="*/ 1752600 h 2014539"/>
            <a:gd name="connsiteX8" fmla="*/ 783229 w 1329329"/>
            <a:gd name="connsiteY8" fmla="*/ 1435100 h 2014539"/>
            <a:gd name="connsiteX9" fmla="*/ 770529 w 1329329"/>
            <a:gd name="connsiteY9" fmla="*/ 1371600 h 2014539"/>
            <a:gd name="connsiteX10" fmla="*/ 783229 w 1329329"/>
            <a:gd name="connsiteY10" fmla="*/ 1333500 h 2014539"/>
            <a:gd name="connsiteX11" fmla="*/ 846729 w 1329329"/>
            <a:gd name="connsiteY11" fmla="*/ 1257300 h 2014539"/>
            <a:gd name="connsiteX12" fmla="*/ 884829 w 1329329"/>
            <a:gd name="connsiteY12" fmla="*/ 1181100 h 2014539"/>
            <a:gd name="connsiteX13" fmla="*/ 897529 w 1329329"/>
            <a:gd name="connsiteY13" fmla="*/ 1143000 h 2014539"/>
            <a:gd name="connsiteX14" fmla="*/ 948329 w 1329329"/>
            <a:gd name="connsiteY14" fmla="*/ 1066800 h 2014539"/>
            <a:gd name="connsiteX15" fmla="*/ 961029 w 1329329"/>
            <a:gd name="connsiteY15" fmla="*/ 1028700 h 2014539"/>
            <a:gd name="connsiteX16" fmla="*/ 999129 w 1329329"/>
            <a:gd name="connsiteY16" fmla="*/ 990600 h 2014539"/>
            <a:gd name="connsiteX17" fmla="*/ 1062629 w 1329329"/>
            <a:gd name="connsiteY17" fmla="*/ 927100 h 2014539"/>
            <a:gd name="connsiteX18" fmla="*/ 1113429 w 1329329"/>
            <a:gd name="connsiteY18" fmla="*/ 850900 h 2014539"/>
            <a:gd name="connsiteX19" fmla="*/ 1151529 w 1329329"/>
            <a:gd name="connsiteY19" fmla="*/ 812800 h 2014539"/>
            <a:gd name="connsiteX20" fmla="*/ 1240429 w 1329329"/>
            <a:gd name="connsiteY20" fmla="*/ 711200 h 2014539"/>
            <a:gd name="connsiteX21" fmla="*/ 1291229 w 1329329"/>
            <a:gd name="connsiteY21" fmla="*/ 635000 h 2014539"/>
            <a:gd name="connsiteX22" fmla="*/ 1329329 w 1329329"/>
            <a:gd name="connsiteY22" fmla="*/ 558800 h 2014539"/>
            <a:gd name="connsiteX23" fmla="*/ 1151529 w 1329329"/>
            <a:gd name="connsiteY23" fmla="*/ 520700 h 2014539"/>
            <a:gd name="connsiteX24" fmla="*/ 1037229 w 1329329"/>
            <a:gd name="connsiteY24" fmla="*/ 482600 h 2014539"/>
            <a:gd name="connsiteX25" fmla="*/ 999129 w 1329329"/>
            <a:gd name="connsiteY25" fmla="*/ 469900 h 2014539"/>
            <a:gd name="connsiteX26" fmla="*/ 922929 w 1329329"/>
            <a:gd name="connsiteY26" fmla="*/ 482600 h 2014539"/>
            <a:gd name="connsiteX27" fmla="*/ 897529 w 1329329"/>
            <a:gd name="connsiteY27" fmla="*/ 520700 h 2014539"/>
            <a:gd name="connsiteX28" fmla="*/ 859429 w 1329329"/>
            <a:gd name="connsiteY28" fmla="*/ 266700 h 2014539"/>
            <a:gd name="connsiteX29" fmla="*/ 821329 w 1329329"/>
            <a:gd name="connsiteY29" fmla="*/ 241300 h 2014539"/>
            <a:gd name="connsiteX30" fmla="*/ 795929 w 1329329"/>
            <a:gd name="connsiteY30" fmla="*/ 203200 h 2014539"/>
            <a:gd name="connsiteX31" fmla="*/ 719729 w 1329329"/>
            <a:gd name="connsiteY31" fmla="*/ 254000 h 2014539"/>
            <a:gd name="connsiteX32" fmla="*/ 681629 w 1329329"/>
            <a:gd name="connsiteY32" fmla="*/ 266700 h 2014539"/>
            <a:gd name="connsiteX33" fmla="*/ 656229 w 1329329"/>
            <a:gd name="connsiteY33" fmla="*/ 63500 h 2014539"/>
            <a:gd name="connsiteX34" fmla="*/ 643529 w 1329329"/>
            <a:gd name="connsiteY34" fmla="*/ 0 h 2014539"/>
            <a:gd name="connsiteX35" fmla="*/ 567329 w 1329329"/>
            <a:gd name="connsiteY35" fmla="*/ 25400 h 2014539"/>
            <a:gd name="connsiteX36" fmla="*/ 529229 w 1329329"/>
            <a:gd name="connsiteY36" fmla="*/ 38100 h 2014539"/>
            <a:gd name="connsiteX37" fmla="*/ 465729 w 1329329"/>
            <a:gd name="connsiteY37" fmla="*/ 50800 h 2014539"/>
            <a:gd name="connsiteX38" fmla="*/ 326029 w 1329329"/>
            <a:gd name="connsiteY38" fmla="*/ 38100 h 2014539"/>
            <a:gd name="connsiteX39" fmla="*/ 262529 w 1329329"/>
            <a:gd name="connsiteY39" fmla="*/ 50800 h 2014539"/>
            <a:gd name="connsiteX40" fmla="*/ 97429 w 1329329"/>
            <a:gd name="connsiteY40" fmla="*/ 63500 h 2014539"/>
            <a:gd name="connsiteX41" fmla="*/ 33929 w 1329329"/>
            <a:gd name="connsiteY41" fmla="*/ 355600 h 2014539"/>
            <a:gd name="connsiteX42" fmla="*/ 33929 w 1329329"/>
            <a:gd name="connsiteY42" fmla="*/ 876300 h 2014539"/>
            <a:gd name="connsiteX43" fmla="*/ 21229 w 1329329"/>
            <a:gd name="connsiteY43" fmla="*/ 1193800 h 2014539"/>
            <a:gd name="connsiteX44" fmla="*/ 33929 w 1329329"/>
            <a:gd name="connsiteY44" fmla="*/ 1689100 h 2014539"/>
            <a:gd name="connsiteX45" fmla="*/ 21229 w 1329329"/>
            <a:gd name="connsiteY45" fmla="*/ 1866900 h 2014539"/>
            <a:gd name="connsiteX46" fmla="*/ 46629 w 1329329"/>
            <a:gd name="connsiteY46" fmla="*/ 2006600 h 20145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1329329" h="2014539">
              <a:moveTo>
                <a:pt x="46629" y="2006600"/>
              </a:moveTo>
              <a:cubicBezTo>
                <a:pt x="101662" y="2027767"/>
                <a:pt x="249966" y="2000664"/>
                <a:pt x="351429" y="1993900"/>
              </a:cubicBezTo>
              <a:cubicBezTo>
                <a:pt x="377122" y="1992187"/>
                <a:pt x="402036" y="1984044"/>
                <a:pt x="427629" y="1981200"/>
              </a:cubicBezTo>
              <a:cubicBezTo>
                <a:pt x="478293" y="1975571"/>
                <a:pt x="529229" y="1972733"/>
                <a:pt x="580029" y="1968500"/>
              </a:cubicBezTo>
              <a:cubicBezTo>
                <a:pt x="634970" y="1975368"/>
                <a:pt x="792854" y="2002189"/>
                <a:pt x="834029" y="1968500"/>
              </a:cubicBezTo>
              <a:cubicBezTo>
                <a:pt x="860444" y="1946887"/>
                <a:pt x="827434" y="1900480"/>
                <a:pt x="821329" y="1866900"/>
              </a:cubicBezTo>
              <a:cubicBezTo>
                <a:pt x="818934" y="1853729"/>
                <a:pt x="811533" y="1841868"/>
                <a:pt x="808629" y="1828800"/>
              </a:cubicBezTo>
              <a:cubicBezTo>
                <a:pt x="803043" y="1803663"/>
                <a:pt x="800162" y="1778000"/>
                <a:pt x="795929" y="1752600"/>
              </a:cubicBezTo>
              <a:cubicBezTo>
                <a:pt x="791696" y="1646767"/>
                <a:pt x="790275" y="1540783"/>
                <a:pt x="783229" y="1435100"/>
              </a:cubicBezTo>
              <a:cubicBezTo>
                <a:pt x="781793" y="1413562"/>
                <a:pt x="770529" y="1393186"/>
                <a:pt x="770529" y="1371600"/>
              </a:cubicBezTo>
              <a:cubicBezTo>
                <a:pt x="770529" y="1358213"/>
                <a:pt x="777242" y="1345474"/>
                <a:pt x="783229" y="1333500"/>
              </a:cubicBezTo>
              <a:cubicBezTo>
                <a:pt x="800910" y="1298137"/>
                <a:pt x="818642" y="1285387"/>
                <a:pt x="846729" y="1257300"/>
              </a:cubicBezTo>
              <a:cubicBezTo>
                <a:pt x="878651" y="1161535"/>
                <a:pt x="835590" y="1279577"/>
                <a:pt x="884829" y="1181100"/>
              </a:cubicBezTo>
              <a:cubicBezTo>
                <a:pt x="890816" y="1169126"/>
                <a:pt x="891028" y="1154702"/>
                <a:pt x="897529" y="1143000"/>
              </a:cubicBezTo>
              <a:cubicBezTo>
                <a:pt x="912354" y="1116315"/>
                <a:pt x="931396" y="1092200"/>
                <a:pt x="948329" y="1066800"/>
              </a:cubicBezTo>
              <a:cubicBezTo>
                <a:pt x="955755" y="1055661"/>
                <a:pt x="953603" y="1039839"/>
                <a:pt x="961029" y="1028700"/>
              </a:cubicBezTo>
              <a:cubicBezTo>
                <a:pt x="970992" y="1013756"/>
                <a:pt x="987631" y="1004398"/>
                <a:pt x="999129" y="990600"/>
              </a:cubicBezTo>
              <a:cubicBezTo>
                <a:pt x="1052046" y="927100"/>
                <a:pt x="992779" y="973667"/>
                <a:pt x="1062629" y="927100"/>
              </a:cubicBezTo>
              <a:cubicBezTo>
                <a:pt x="1079562" y="901700"/>
                <a:pt x="1091843" y="872486"/>
                <a:pt x="1113429" y="850900"/>
              </a:cubicBezTo>
              <a:cubicBezTo>
                <a:pt x="1126129" y="838200"/>
                <a:pt x="1140502" y="826977"/>
                <a:pt x="1151529" y="812800"/>
              </a:cubicBezTo>
              <a:cubicBezTo>
                <a:pt x="1231311" y="710223"/>
                <a:pt x="1166671" y="760372"/>
                <a:pt x="1240429" y="711200"/>
              </a:cubicBezTo>
              <a:cubicBezTo>
                <a:pt x="1257362" y="685800"/>
                <a:pt x="1281576" y="663960"/>
                <a:pt x="1291229" y="635000"/>
              </a:cubicBezTo>
              <a:cubicBezTo>
                <a:pt x="1308756" y="582420"/>
                <a:pt x="1296503" y="608039"/>
                <a:pt x="1329329" y="558800"/>
              </a:cubicBezTo>
              <a:cubicBezTo>
                <a:pt x="1220750" y="522607"/>
                <a:pt x="1279696" y="536721"/>
                <a:pt x="1151529" y="520700"/>
              </a:cubicBezTo>
              <a:lnTo>
                <a:pt x="1037229" y="482600"/>
              </a:lnTo>
              <a:lnTo>
                <a:pt x="999129" y="469900"/>
              </a:lnTo>
              <a:cubicBezTo>
                <a:pt x="973729" y="474133"/>
                <a:pt x="945961" y="471084"/>
                <a:pt x="922929" y="482600"/>
              </a:cubicBezTo>
              <a:cubicBezTo>
                <a:pt x="909277" y="489426"/>
                <a:pt x="900727" y="535625"/>
                <a:pt x="897529" y="520700"/>
              </a:cubicBezTo>
              <a:cubicBezTo>
                <a:pt x="880314" y="440363"/>
                <a:pt x="925584" y="332855"/>
                <a:pt x="859429" y="266700"/>
              </a:cubicBezTo>
              <a:cubicBezTo>
                <a:pt x="848636" y="255907"/>
                <a:pt x="834029" y="249767"/>
                <a:pt x="821329" y="241300"/>
              </a:cubicBezTo>
              <a:cubicBezTo>
                <a:pt x="812862" y="228600"/>
                <a:pt x="810409" y="208027"/>
                <a:pt x="795929" y="203200"/>
              </a:cubicBezTo>
              <a:cubicBezTo>
                <a:pt x="739311" y="184327"/>
                <a:pt x="746949" y="232224"/>
                <a:pt x="719729" y="254000"/>
              </a:cubicBezTo>
              <a:cubicBezTo>
                <a:pt x="709276" y="262363"/>
                <a:pt x="694329" y="262467"/>
                <a:pt x="681629" y="266700"/>
              </a:cubicBezTo>
              <a:cubicBezTo>
                <a:pt x="673359" y="192269"/>
                <a:pt x="668310" y="135985"/>
                <a:pt x="656229" y="63500"/>
              </a:cubicBezTo>
              <a:cubicBezTo>
                <a:pt x="652680" y="42208"/>
                <a:pt x="647762" y="21167"/>
                <a:pt x="643529" y="0"/>
              </a:cubicBezTo>
              <a:lnTo>
                <a:pt x="567329" y="25400"/>
              </a:lnTo>
              <a:cubicBezTo>
                <a:pt x="554629" y="29633"/>
                <a:pt x="542356" y="35475"/>
                <a:pt x="529229" y="38100"/>
              </a:cubicBezTo>
              <a:lnTo>
                <a:pt x="465729" y="50800"/>
              </a:lnTo>
              <a:cubicBezTo>
                <a:pt x="419162" y="46567"/>
                <a:pt x="372788" y="38100"/>
                <a:pt x="326029" y="38100"/>
              </a:cubicBezTo>
              <a:cubicBezTo>
                <a:pt x="304443" y="38100"/>
                <a:pt x="283983" y="48416"/>
                <a:pt x="262529" y="50800"/>
              </a:cubicBezTo>
              <a:cubicBezTo>
                <a:pt x="207671" y="56895"/>
                <a:pt x="152462" y="59267"/>
                <a:pt x="97429" y="63500"/>
              </a:cubicBezTo>
              <a:cubicBezTo>
                <a:pt x="-63205" y="117045"/>
                <a:pt x="19955" y="62156"/>
                <a:pt x="33929" y="355600"/>
              </a:cubicBezTo>
              <a:cubicBezTo>
                <a:pt x="-2800" y="1163642"/>
                <a:pt x="33929" y="154699"/>
                <a:pt x="33929" y="876300"/>
              </a:cubicBezTo>
              <a:cubicBezTo>
                <a:pt x="33929" y="982218"/>
                <a:pt x="25462" y="1087967"/>
                <a:pt x="21229" y="1193800"/>
              </a:cubicBezTo>
              <a:cubicBezTo>
                <a:pt x="25462" y="1358900"/>
                <a:pt x="33929" y="1523946"/>
                <a:pt x="33929" y="1689100"/>
              </a:cubicBezTo>
              <a:cubicBezTo>
                <a:pt x="33929" y="1748518"/>
                <a:pt x="23604" y="1807530"/>
                <a:pt x="21229" y="1866900"/>
              </a:cubicBezTo>
              <a:cubicBezTo>
                <a:pt x="19368" y="1913429"/>
                <a:pt x="-8404" y="1985433"/>
                <a:pt x="46629" y="20066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105</xdr:row>
      <xdr:rowOff>57150</xdr:rowOff>
    </xdr:from>
    <xdr:to>
      <xdr:col>12</xdr:col>
      <xdr:colOff>447697</xdr:colOff>
      <xdr:row>119</xdr:row>
      <xdr:rowOff>140879</xdr:rowOff>
    </xdr:to>
    <xdr:sp macro="" textlink="">
      <xdr:nvSpPr>
        <xdr:cNvPr id="77" name="Ontario"/>
        <xdr:cNvSpPr/>
      </xdr:nvSpPr>
      <xdr:spPr>
        <a:xfrm>
          <a:off x="4600575" y="17354550"/>
          <a:ext cx="2667022" cy="2350679"/>
        </a:xfrm>
        <a:custGeom>
          <a:avLst/>
          <a:gdLst>
            <a:gd name="connsiteX0" fmla="*/ 552450 w 2667022"/>
            <a:gd name="connsiteY0" fmla="*/ 0 h 2350679"/>
            <a:gd name="connsiteX1" fmla="*/ 533400 w 2667022"/>
            <a:gd name="connsiteY1" fmla="*/ 76200 h 2350679"/>
            <a:gd name="connsiteX2" fmla="*/ 504825 w 2667022"/>
            <a:gd name="connsiteY2" fmla="*/ 95250 h 2350679"/>
            <a:gd name="connsiteX3" fmla="*/ 495300 w 2667022"/>
            <a:gd name="connsiteY3" fmla="*/ 123825 h 2350679"/>
            <a:gd name="connsiteX4" fmla="*/ 447675 w 2667022"/>
            <a:gd name="connsiteY4" fmla="*/ 180975 h 2350679"/>
            <a:gd name="connsiteX5" fmla="*/ 419100 w 2667022"/>
            <a:gd name="connsiteY5" fmla="*/ 190500 h 2350679"/>
            <a:gd name="connsiteX6" fmla="*/ 371475 w 2667022"/>
            <a:gd name="connsiteY6" fmla="*/ 238125 h 2350679"/>
            <a:gd name="connsiteX7" fmla="*/ 361950 w 2667022"/>
            <a:gd name="connsiteY7" fmla="*/ 266700 h 2350679"/>
            <a:gd name="connsiteX8" fmla="*/ 295275 w 2667022"/>
            <a:gd name="connsiteY8" fmla="*/ 352425 h 2350679"/>
            <a:gd name="connsiteX9" fmla="*/ 257175 w 2667022"/>
            <a:gd name="connsiteY9" fmla="*/ 438150 h 2350679"/>
            <a:gd name="connsiteX10" fmla="*/ 228600 w 2667022"/>
            <a:gd name="connsiteY10" fmla="*/ 457200 h 2350679"/>
            <a:gd name="connsiteX11" fmla="*/ 200025 w 2667022"/>
            <a:gd name="connsiteY11" fmla="*/ 466725 h 2350679"/>
            <a:gd name="connsiteX12" fmla="*/ 180975 w 2667022"/>
            <a:gd name="connsiteY12" fmla="*/ 495300 h 2350679"/>
            <a:gd name="connsiteX13" fmla="*/ 161925 w 2667022"/>
            <a:gd name="connsiteY13" fmla="*/ 552450 h 2350679"/>
            <a:gd name="connsiteX14" fmla="*/ 142875 w 2667022"/>
            <a:gd name="connsiteY14" fmla="*/ 581025 h 2350679"/>
            <a:gd name="connsiteX15" fmla="*/ 133350 w 2667022"/>
            <a:gd name="connsiteY15" fmla="*/ 609600 h 2350679"/>
            <a:gd name="connsiteX16" fmla="*/ 104775 w 2667022"/>
            <a:gd name="connsiteY16" fmla="*/ 619125 h 2350679"/>
            <a:gd name="connsiteX17" fmla="*/ 76200 w 2667022"/>
            <a:gd name="connsiteY17" fmla="*/ 647700 h 2350679"/>
            <a:gd name="connsiteX18" fmla="*/ 28575 w 2667022"/>
            <a:gd name="connsiteY18" fmla="*/ 762000 h 2350679"/>
            <a:gd name="connsiteX19" fmla="*/ 0 w 2667022"/>
            <a:gd name="connsiteY19" fmla="*/ 781050 h 2350679"/>
            <a:gd name="connsiteX20" fmla="*/ 9525 w 2667022"/>
            <a:gd name="connsiteY20" fmla="*/ 1152525 h 2350679"/>
            <a:gd name="connsiteX21" fmla="*/ 28575 w 2667022"/>
            <a:gd name="connsiteY21" fmla="*/ 1209675 h 2350679"/>
            <a:gd name="connsiteX22" fmla="*/ 38100 w 2667022"/>
            <a:gd name="connsiteY22" fmla="*/ 1285875 h 2350679"/>
            <a:gd name="connsiteX23" fmla="*/ 47625 w 2667022"/>
            <a:gd name="connsiteY23" fmla="*/ 1352550 h 2350679"/>
            <a:gd name="connsiteX24" fmla="*/ 76200 w 2667022"/>
            <a:gd name="connsiteY24" fmla="*/ 1343025 h 2350679"/>
            <a:gd name="connsiteX25" fmla="*/ 85725 w 2667022"/>
            <a:gd name="connsiteY25" fmla="*/ 1390650 h 2350679"/>
            <a:gd name="connsiteX26" fmla="*/ 228600 w 2667022"/>
            <a:gd name="connsiteY26" fmla="*/ 1428750 h 2350679"/>
            <a:gd name="connsiteX27" fmla="*/ 409575 w 2667022"/>
            <a:gd name="connsiteY27" fmla="*/ 1438275 h 2350679"/>
            <a:gd name="connsiteX28" fmla="*/ 438150 w 2667022"/>
            <a:gd name="connsiteY28" fmla="*/ 1447800 h 2350679"/>
            <a:gd name="connsiteX29" fmla="*/ 495300 w 2667022"/>
            <a:gd name="connsiteY29" fmla="*/ 1485900 h 2350679"/>
            <a:gd name="connsiteX30" fmla="*/ 523875 w 2667022"/>
            <a:gd name="connsiteY30" fmla="*/ 1495425 h 2350679"/>
            <a:gd name="connsiteX31" fmla="*/ 552450 w 2667022"/>
            <a:gd name="connsiteY31" fmla="*/ 1485900 h 2350679"/>
            <a:gd name="connsiteX32" fmla="*/ 676275 w 2667022"/>
            <a:gd name="connsiteY32" fmla="*/ 1476375 h 2350679"/>
            <a:gd name="connsiteX33" fmla="*/ 714375 w 2667022"/>
            <a:gd name="connsiteY33" fmla="*/ 1419225 h 2350679"/>
            <a:gd name="connsiteX34" fmla="*/ 838200 w 2667022"/>
            <a:gd name="connsiteY34" fmla="*/ 1381125 h 2350679"/>
            <a:gd name="connsiteX35" fmla="*/ 866775 w 2667022"/>
            <a:gd name="connsiteY35" fmla="*/ 1362075 h 2350679"/>
            <a:gd name="connsiteX36" fmla="*/ 876300 w 2667022"/>
            <a:gd name="connsiteY36" fmla="*/ 1323975 h 2350679"/>
            <a:gd name="connsiteX37" fmla="*/ 904875 w 2667022"/>
            <a:gd name="connsiteY37" fmla="*/ 1266825 h 2350679"/>
            <a:gd name="connsiteX38" fmla="*/ 942975 w 2667022"/>
            <a:gd name="connsiteY38" fmla="*/ 1276350 h 2350679"/>
            <a:gd name="connsiteX39" fmla="*/ 1000125 w 2667022"/>
            <a:gd name="connsiteY39" fmla="*/ 1295400 h 2350679"/>
            <a:gd name="connsiteX40" fmla="*/ 1028700 w 2667022"/>
            <a:gd name="connsiteY40" fmla="*/ 1285875 h 2350679"/>
            <a:gd name="connsiteX41" fmla="*/ 1057275 w 2667022"/>
            <a:gd name="connsiteY41" fmla="*/ 1266825 h 2350679"/>
            <a:gd name="connsiteX42" fmla="*/ 1104900 w 2667022"/>
            <a:gd name="connsiteY42" fmla="*/ 1352550 h 2350679"/>
            <a:gd name="connsiteX43" fmla="*/ 1123950 w 2667022"/>
            <a:gd name="connsiteY43" fmla="*/ 1381125 h 2350679"/>
            <a:gd name="connsiteX44" fmla="*/ 1152525 w 2667022"/>
            <a:gd name="connsiteY44" fmla="*/ 1390650 h 2350679"/>
            <a:gd name="connsiteX45" fmla="*/ 1238250 w 2667022"/>
            <a:gd name="connsiteY45" fmla="*/ 1400175 h 2350679"/>
            <a:gd name="connsiteX46" fmla="*/ 1247775 w 2667022"/>
            <a:gd name="connsiteY46" fmla="*/ 1371600 h 2350679"/>
            <a:gd name="connsiteX47" fmla="*/ 1266825 w 2667022"/>
            <a:gd name="connsiteY47" fmla="*/ 1428750 h 2350679"/>
            <a:gd name="connsiteX48" fmla="*/ 1295400 w 2667022"/>
            <a:gd name="connsiteY48" fmla="*/ 1447800 h 2350679"/>
            <a:gd name="connsiteX49" fmla="*/ 1352550 w 2667022"/>
            <a:gd name="connsiteY49" fmla="*/ 1485900 h 2350679"/>
            <a:gd name="connsiteX50" fmla="*/ 1371600 w 2667022"/>
            <a:gd name="connsiteY50" fmla="*/ 1514475 h 2350679"/>
            <a:gd name="connsiteX51" fmla="*/ 1390650 w 2667022"/>
            <a:gd name="connsiteY51" fmla="*/ 1590675 h 2350679"/>
            <a:gd name="connsiteX52" fmla="*/ 1447800 w 2667022"/>
            <a:gd name="connsiteY52" fmla="*/ 1619250 h 2350679"/>
            <a:gd name="connsiteX53" fmla="*/ 1657350 w 2667022"/>
            <a:gd name="connsiteY53" fmla="*/ 1609725 h 2350679"/>
            <a:gd name="connsiteX54" fmla="*/ 1714500 w 2667022"/>
            <a:gd name="connsiteY54" fmla="*/ 1600200 h 2350679"/>
            <a:gd name="connsiteX55" fmla="*/ 1743075 w 2667022"/>
            <a:gd name="connsiteY55" fmla="*/ 1581150 h 2350679"/>
            <a:gd name="connsiteX56" fmla="*/ 1866900 w 2667022"/>
            <a:gd name="connsiteY56" fmla="*/ 1600200 h 2350679"/>
            <a:gd name="connsiteX57" fmla="*/ 1914525 w 2667022"/>
            <a:gd name="connsiteY57" fmla="*/ 1609725 h 2350679"/>
            <a:gd name="connsiteX58" fmla="*/ 1943100 w 2667022"/>
            <a:gd name="connsiteY58" fmla="*/ 1619250 h 2350679"/>
            <a:gd name="connsiteX59" fmla="*/ 1971675 w 2667022"/>
            <a:gd name="connsiteY59" fmla="*/ 1647825 h 2350679"/>
            <a:gd name="connsiteX60" fmla="*/ 1981200 w 2667022"/>
            <a:gd name="connsiteY60" fmla="*/ 1676400 h 2350679"/>
            <a:gd name="connsiteX61" fmla="*/ 2009775 w 2667022"/>
            <a:gd name="connsiteY61" fmla="*/ 1695450 h 2350679"/>
            <a:gd name="connsiteX62" fmla="*/ 2000250 w 2667022"/>
            <a:gd name="connsiteY62" fmla="*/ 1771650 h 2350679"/>
            <a:gd name="connsiteX63" fmla="*/ 1914525 w 2667022"/>
            <a:gd name="connsiteY63" fmla="*/ 1762125 h 2350679"/>
            <a:gd name="connsiteX64" fmla="*/ 1876425 w 2667022"/>
            <a:gd name="connsiteY64" fmla="*/ 1752600 h 2350679"/>
            <a:gd name="connsiteX65" fmla="*/ 1866900 w 2667022"/>
            <a:gd name="connsiteY65" fmla="*/ 1724025 h 2350679"/>
            <a:gd name="connsiteX66" fmla="*/ 1809750 w 2667022"/>
            <a:gd name="connsiteY66" fmla="*/ 1704975 h 2350679"/>
            <a:gd name="connsiteX67" fmla="*/ 1800225 w 2667022"/>
            <a:gd name="connsiteY67" fmla="*/ 1771650 h 2350679"/>
            <a:gd name="connsiteX68" fmla="*/ 1828800 w 2667022"/>
            <a:gd name="connsiteY68" fmla="*/ 1781175 h 2350679"/>
            <a:gd name="connsiteX69" fmla="*/ 1857375 w 2667022"/>
            <a:gd name="connsiteY69" fmla="*/ 1800225 h 2350679"/>
            <a:gd name="connsiteX70" fmla="*/ 1866900 w 2667022"/>
            <a:gd name="connsiteY70" fmla="*/ 1828800 h 2350679"/>
            <a:gd name="connsiteX71" fmla="*/ 1857375 w 2667022"/>
            <a:gd name="connsiteY71" fmla="*/ 1952625 h 2350679"/>
            <a:gd name="connsiteX72" fmla="*/ 1838325 w 2667022"/>
            <a:gd name="connsiteY72" fmla="*/ 2009775 h 2350679"/>
            <a:gd name="connsiteX73" fmla="*/ 1828800 w 2667022"/>
            <a:gd name="connsiteY73" fmla="*/ 2038350 h 2350679"/>
            <a:gd name="connsiteX74" fmla="*/ 1819275 w 2667022"/>
            <a:gd name="connsiteY74" fmla="*/ 2066925 h 2350679"/>
            <a:gd name="connsiteX75" fmla="*/ 1790700 w 2667022"/>
            <a:gd name="connsiteY75" fmla="*/ 2124075 h 2350679"/>
            <a:gd name="connsiteX76" fmla="*/ 1800225 w 2667022"/>
            <a:gd name="connsiteY76" fmla="*/ 2171700 h 2350679"/>
            <a:gd name="connsiteX77" fmla="*/ 1809750 w 2667022"/>
            <a:gd name="connsiteY77" fmla="*/ 2200275 h 2350679"/>
            <a:gd name="connsiteX78" fmla="*/ 1838325 w 2667022"/>
            <a:gd name="connsiteY78" fmla="*/ 2209800 h 2350679"/>
            <a:gd name="connsiteX79" fmla="*/ 1847850 w 2667022"/>
            <a:gd name="connsiteY79" fmla="*/ 2266950 h 2350679"/>
            <a:gd name="connsiteX80" fmla="*/ 1790700 w 2667022"/>
            <a:gd name="connsiteY80" fmla="*/ 2286000 h 2350679"/>
            <a:gd name="connsiteX81" fmla="*/ 1771650 w 2667022"/>
            <a:gd name="connsiteY81" fmla="*/ 2314575 h 2350679"/>
            <a:gd name="connsiteX82" fmla="*/ 1866900 w 2667022"/>
            <a:gd name="connsiteY82" fmla="*/ 2333625 h 2350679"/>
            <a:gd name="connsiteX83" fmla="*/ 1924050 w 2667022"/>
            <a:gd name="connsiteY83" fmla="*/ 2314575 h 2350679"/>
            <a:gd name="connsiteX84" fmla="*/ 1943100 w 2667022"/>
            <a:gd name="connsiteY84" fmla="*/ 2286000 h 2350679"/>
            <a:gd name="connsiteX85" fmla="*/ 2000250 w 2667022"/>
            <a:gd name="connsiteY85" fmla="*/ 2257425 h 2350679"/>
            <a:gd name="connsiteX86" fmla="*/ 2019300 w 2667022"/>
            <a:gd name="connsiteY86" fmla="*/ 2228850 h 2350679"/>
            <a:gd name="connsiteX87" fmla="*/ 2047875 w 2667022"/>
            <a:gd name="connsiteY87" fmla="*/ 2200275 h 2350679"/>
            <a:gd name="connsiteX88" fmla="*/ 2085975 w 2667022"/>
            <a:gd name="connsiteY88" fmla="*/ 2162175 h 2350679"/>
            <a:gd name="connsiteX89" fmla="*/ 2105025 w 2667022"/>
            <a:gd name="connsiteY89" fmla="*/ 2133600 h 2350679"/>
            <a:gd name="connsiteX90" fmla="*/ 2162175 w 2667022"/>
            <a:gd name="connsiteY90" fmla="*/ 2114550 h 2350679"/>
            <a:gd name="connsiteX91" fmla="*/ 2181225 w 2667022"/>
            <a:gd name="connsiteY91" fmla="*/ 2085975 h 2350679"/>
            <a:gd name="connsiteX92" fmla="*/ 2209800 w 2667022"/>
            <a:gd name="connsiteY92" fmla="*/ 2076450 h 2350679"/>
            <a:gd name="connsiteX93" fmla="*/ 2219325 w 2667022"/>
            <a:gd name="connsiteY93" fmla="*/ 2047875 h 2350679"/>
            <a:gd name="connsiteX94" fmla="*/ 2238375 w 2667022"/>
            <a:gd name="connsiteY94" fmla="*/ 2019300 h 2350679"/>
            <a:gd name="connsiteX95" fmla="*/ 2228850 w 2667022"/>
            <a:gd name="connsiteY95" fmla="*/ 1990725 h 2350679"/>
            <a:gd name="connsiteX96" fmla="*/ 2190750 w 2667022"/>
            <a:gd name="connsiteY96" fmla="*/ 1933575 h 2350679"/>
            <a:gd name="connsiteX97" fmla="*/ 2181225 w 2667022"/>
            <a:gd name="connsiteY97" fmla="*/ 1905000 h 2350679"/>
            <a:gd name="connsiteX98" fmla="*/ 2209800 w 2667022"/>
            <a:gd name="connsiteY98" fmla="*/ 1876425 h 2350679"/>
            <a:gd name="connsiteX99" fmla="*/ 2238375 w 2667022"/>
            <a:gd name="connsiteY99" fmla="*/ 1857375 h 2350679"/>
            <a:gd name="connsiteX100" fmla="*/ 2257425 w 2667022"/>
            <a:gd name="connsiteY100" fmla="*/ 1828800 h 2350679"/>
            <a:gd name="connsiteX101" fmla="*/ 2314575 w 2667022"/>
            <a:gd name="connsiteY101" fmla="*/ 1809750 h 2350679"/>
            <a:gd name="connsiteX102" fmla="*/ 2371725 w 2667022"/>
            <a:gd name="connsiteY102" fmla="*/ 1790700 h 2350679"/>
            <a:gd name="connsiteX103" fmla="*/ 2400300 w 2667022"/>
            <a:gd name="connsiteY103" fmla="*/ 1781175 h 2350679"/>
            <a:gd name="connsiteX104" fmla="*/ 2419350 w 2667022"/>
            <a:gd name="connsiteY104" fmla="*/ 1752600 h 2350679"/>
            <a:gd name="connsiteX105" fmla="*/ 2457450 w 2667022"/>
            <a:gd name="connsiteY105" fmla="*/ 1743075 h 2350679"/>
            <a:gd name="connsiteX106" fmla="*/ 2486025 w 2667022"/>
            <a:gd name="connsiteY106" fmla="*/ 1733550 h 2350679"/>
            <a:gd name="connsiteX107" fmla="*/ 2505075 w 2667022"/>
            <a:gd name="connsiteY107" fmla="*/ 1704975 h 2350679"/>
            <a:gd name="connsiteX108" fmla="*/ 2533650 w 2667022"/>
            <a:gd name="connsiteY108" fmla="*/ 1685925 h 2350679"/>
            <a:gd name="connsiteX109" fmla="*/ 2571750 w 2667022"/>
            <a:gd name="connsiteY109" fmla="*/ 1628775 h 2350679"/>
            <a:gd name="connsiteX110" fmla="*/ 2600325 w 2667022"/>
            <a:gd name="connsiteY110" fmla="*/ 1600200 h 2350679"/>
            <a:gd name="connsiteX111" fmla="*/ 2638425 w 2667022"/>
            <a:gd name="connsiteY111" fmla="*/ 1562100 h 2350679"/>
            <a:gd name="connsiteX112" fmla="*/ 2657475 w 2667022"/>
            <a:gd name="connsiteY112" fmla="*/ 1533525 h 2350679"/>
            <a:gd name="connsiteX113" fmla="*/ 2667000 w 2667022"/>
            <a:gd name="connsiteY113" fmla="*/ 1447800 h 2350679"/>
            <a:gd name="connsiteX114" fmla="*/ 2657475 w 2667022"/>
            <a:gd name="connsiteY114" fmla="*/ 1409700 h 2350679"/>
            <a:gd name="connsiteX115" fmla="*/ 2628900 w 2667022"/>
            <a:gd name="connsiteY115" fmla="*/ 1419225 h 2350679"/>
            <a:gd name="connsiteX116" fmla="*/ 2581275 w 2667022"/>
            <a:gd name="connsiteY116" fmla="*/ 1428750 h 2350679"/>
            <a:gd name="connsiteX117" fmla="*/ 2524125 w 2667022"/>
            <a:gd name="connsiteY117" fmla="*/ 1447800 h 2350679"/>
            <a:gd name="connsiteX118" fmla="*/ 2495550 w 2667022"/>
            <a:gd name="connsiteY118" fmla="*/ 1457325 h 2350679"/>
            <a:gd name="connsiteX119" fmla="*/ 2419350 w 2667022"/>
            <a:gd name="connsiteY119" fmla="*/ 1466850 h 2350679"/>
            <a:gd name="connsiteX120" fmla="*/ 2228850 w 2667022"/>
            <a:gd name="connsiteY120" fmla="*/ 1457325 h 2350679"/>
            <a:gd name="connsiteX121" fmla="*/ 2190750 w 2667022"/>
            <a:gd name="connsiteY121" fmla="*/ 1447800 h 2350679"/>
            <a:gd name="connsiteX122" fmla="*/ 2124075 w 2667022"/>
            <a:gd name="connsiteY122" fmla="*/ 1438275 h 2350679"/>
            <a:gd name="connsiteX123" fmla="*/ 2066925 w 2667022"/>
            <a:gd name="connsiteY123" fmla="*/ 1400175 h 2350679"/>
            <a:gd name="connsiteX124" fmla="*/ 2038350 w 2667022"/>
            <a:gd name="connsiteY124" fmla="*/ 1381125 h 2350679"/>
            <a:gd name="connsiteX125" fmla="*/ 1990725 w 2667022"/>
            <a:gd name="connsiteY125" fmla="*/ 1323975 h 2350679"/>
            <a:gd name="connsiteX126" fmla="*/ 1952625 w 2667022"/>
            <a:gd name="connsiteY126" fmla="*/ 1266825 h 2350679"/>
            <a:gd name="connsiteX127" fmla="*/ 1933575 w 2667022"/>
            <a:gd name="connsiteY127" fmla="*/ 1209675 h 2350679"/>
            <a:gd name="connsiteX128" fmla="*/ 1905000 w 2667022"/>
            <a:gd name="connsiteY128" fmla="*/ 1123950 h 2350679"/>
            <a:gd name="connsiteX129" fmla="*/ 1895475 w 2667022"/>
            <a:gd name="connsiteY129" fmla="*/ 1095375 h 2350679"/>
            <a:gd name="connsiteX130" fmla="*/ 1885950 w 2667022"/>
            <a:gd name="connsiteY130" fmla="*/ 1066800 h 2350679"/>
            <a:gd name="connsiteX131" fmla="*/ 1866900 w 2667022"/>
            <a:gd name="connsiteY131" fmla="*/ 1038225 h 2350679"/>
            <a:gd name="connsiteX132" fmla="*/ 1847850 w 2667022"/>
            <a:gd name="connsiteY132" fmla="*/ 981075 h 2350679"/>
            <a:gd name="connsiteX133" fmla="*/ 1809750 w 2667022"/>
            <a:gd name="connsiteY133" fmla="*/ 866775 h 2350679"/>
            <a:gd name="connsiteX134" fmla="*/ 1743075 w 2667022"/>
            <a:gd name="connsiteY134" fmla="*/ 666750 h 2350679"/>
            <a:gd name="connsiteX135" fmla="*/ 1724025 w 2667022"/>
            <a:gd name="connsiteY135" fmla="*/ 609600 h 2350679"/>
            <a:gd name="connsiteX136" fmla="*/ 1714500 w 2667022"/>
            <a:gd name="connsiteY136" fmla="*/ 581025 h 2350679"/>
            <a:gd name="connsiteX137" fmla="*/ 1685925 w 2667022"/>
            <a:gd name="connsiteY137" fmla="*/ 590550 h 2350679"/>
            <a:gd name="connsiteX138" fmla="*/ 1676400 w 2667022"/>
            <a:gd name="connsiteY138" fmla="*/ 619125 h 2350679"/>
            <a:gd name="connsiteX139" fmla="*/ 1666875 w 2667022"/>
            <a:gd name="connsiteY139" fmla="*/ 666750 h 2350679"/>
            <a:gd name="connsiteX140" fmla="*/ 1638300 w 2667022"/>
            <a:gd name="connsiteY140" fmla="*/ 676275 h 2350679"/>
            <a:gd name="connsiteX141" fmla="*/ 1609725 w 2667022"/>
            <a:gd name="connsiteY141" fmla="*/ 657225 h 2350679"/>
            <a:gd name="connsiteX142" fmla="*/ 1562100 w 2667022"/>
            <a:gd name="connsiteY142" fmla="*/ 600075 h 2350679"/>
            <a:gd name="connsiteX143" fmla="*/ 1533525 w 2667022"/>
            <a:gd name="connsiteY143" fmla="*/ 590550 h 2350679"/>
            <a:gd name="connsiteX144" fmla="*/ 1476375 w 2667022"/>
            <a:gd name="connsiteY144" fmla="*/ 552450 h 2350679"/>
            <a:gd name="connsiteX145" fmla="*/ 1419225 w 2667022"/>
            <a:gd name="connsiteY145" fmla="*/ 533400 h 2350679"/>
            <a:gd name="connsiteX146" fmla="*/ 1390650 w 2667022"/>
            <a:gd name="connsiteY146" fmla="*/ 504825 h 2350679"/>
            <a:gd name="connsiteX147" fmla="*/ 1343025 w 2667022"/>
            <a:gd name="connsiteY147" fmla="*/ 447675 h 2350679"/>
            <a:gd name="connsiteX148" fmla="*/ 1333500 w 2667022"/>
            <a:gd name="connsiteY148" fmla="*/ 419100 h 2350679"/>
            <a:gd name="connsiteX149" fmla="*/ 1295400 w 2667022"/>
            <a:gd name="connsiteY149" fmla="*/ 361950 h 2350679"/>
            <a:gd name="connsiteX150" fmla="*/ 1257300 w 2667022"/>
            <a:gd name="connsiteY150" fmla="*/ 304800 h 2350679"/>
            <a:gd name="connsiteX151" fmla="*/ 1238250 w 2667022"/>
            <a:gd name="connsiteY151" fmla="*/ 247650 h 2350679"/>
            <a:gd name="connsiteX152" fmla="*/ 1219200 w 2667022"/>
            <a:gd name="connsiteY152" fmla="*/ 133350 h 2350679"/>
            <a:gd name="connsiteX153" fmla="*/ 1181100 w 2667022"/>
            <a:gd name="connsiteY153" fmla="*/ 85725 h 2350679"/>
            <a:gd name="connsiteX154" fmla="*/ 1057275 w 2667022"/>
            <a:gd name="connsiteY154" fmla="*/ 66675 h 2350679"/>
            <a:gd name="connsiteX155" fmla="*/ 952500 w 2667022"/>
            <a:gd name="connsiteY155" fmla="*/ 76200 h 2350679"/>
            <a:gd name="connsiteX156" fmla="*/ 885825 w 2667022"/>
            <a:gd name="connsiteY156" fmla="*/ 95250 h 2350679"/>
            <a:gd name="connsiteX157" fmla="*/ 819150 w 2667022"/>
            <a:gd name="connsiteY157" fmla="*/ 85725 h 2350679"/>
            <a:gd name="connsiteX158" fmla="*/ 762000 w 2667022"/>
            <a:gd name="connsiteY158" fmla="*/ 66675 h 2350679"/>
            <a:gd name="connsiteX159" fmla="*/ 647700 w 2667022"/>
            <a:gd name="connsiteY159" fmla="*/ 28575 h 2350679"/>
            <a:gd name="connsiteX160" fmla="*/ 590550 w 2667022"/>
            <a:gd name="connsiteY160" fmla="*/ 9525 h 2350679"/>
            <a:gd name="connsiteX161" fmla="*/ 561975 w 2667022"/>
            <a:gd name="connsiteY161" fmla="*/ 0 h 2350679"/>
            <a:gd name="connsiteX162" fmla="*/ 552450 w 2667022"/>
            <a:gd name="connsiteY162" fmla="*/ 0 h 23506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Lst>
          <a:rect l="l" t="t" r="r" b="b"/>
          <a:pathLst>
            <a:path w="2667022" h="2350679">
              <a:moveTo>
                <a:pt x="552450" y="0"/>
              </a:moveTo>
              <a:cubicBezTo>
                <a:pt x="551976" y="2372"/>
                <a:pt x="541210" y="66437"/>
                <a:pt x="533400" y="76200"/>
              </a:cubicBezTo>
              <a:cubicBezTo>
                <a:pt x="526249" y="85139"/>
                <a:pt x="514350" y="88900"/>
                <a:pt x="504825" y="95250"/>
              </a:cubicBezTo>
              <a:cubicBezTo>
                <a:pt x="501650" y="104775"/>
                <a:pt x="499790" y="114845"/>
                <a:pt x="495300" y="123825"/>
              </a:cubicBezTo>
              <a:cubicBezTo>
                <a:pt x="486515" y="141396"/>
                <a:pt x="463474" y="170442"/>
                <a:pt x="447675" y="180975"/>
              </a:cubicBezTo>
              <a:cubicBezTo>
                <a:pt x="439321" y="186544"/>
                <a:pt x="428625" y="187325"/>
                <a:pt x="419100" y="190500"/>
              </a:cubicBezTo>
              <a:cubicBezTo>
                <a:pt x="390525" y="209550"/>
                <a:pt x="387350" y="206375"/>
                <a:pt x="371475" y="238125"/>
              </a:cubicBezTo>
              <a:cubicBezTo>
                <a:pt x="366985" y="247105"/>
                <a:pt x="366826" y="257923"/>
                <a:pt x="361950" y="266700"/>
              </a:cubicBezTo>
              <a:cubicBezTo>
                <a:pt x="333467" y="317969"/>
                <a:pt x="329985" y="317715"/>
                <a:pt x="295275" y="352425"/>
              </a:cubicBezTo>
              <a:cubicBezTo>
                <a:pt x="285844" y="380719"/>
                <a:pt x="279816" y="415509"/>
                <a:pt x="257175" y="438150"/>
              </a:cubicBezTo>
              <a:cubicBezTo>
                <a:pt x="249080" y="446245"/>
                <a:pt x="238839" y="452080"/>
                <a:pt x="228600" y="457200"/>
              </a:cubicBezTo>
              <a:cubicBezTo>
                <a:pt x="219620" y="461690"/>
                <a:pt x="209550" y="463550"/>
                <a:pt x="200025" y="466725"/>
              </a:cubicBezTo>
              <a:cubicBezTo>
                <a:pt x="193675" y="476250"/>
                <a:pt x="185624" y="484839"/>
                <a:pt x="180975" y="495300"/>
              </a:cubicBezTo>
              <a:cubicBezTo>
                <a:pt x="172820" y="513650"/>
                <a:pt x="173064" y="535742"/>
                <a:pt x="161925" y="552450"/>
              </a:cubicBezTo>
              <a:cubicBezTo>
                <a:pt x="155575" y="561975"/>
                <a:pt x="147995" y="570786"/>
                <a:pt x="142875" y="581025"/>
              </a:cubicBezTo>
              <a:cubicBezTo>
                <a:pt x="138385" y="590005"/>
                <a:pt x="140450" y="602500"/>
                <a:pt x="133350" y="609600"/>
              </a:cubicBezTo>
              <a:cubicBezTo>
                <a:pt x="126250" y="616700"/>
                <a:pt x="114300" y="615950"/>
                <a:pt x="104775" y="619125"/>
              </a:cubicBezTo>
              <a:cubicBezTo>
                <a:pt x="95250" y="628650"/>
                <a:pt x="82742" y="635925"/>
                <a:pt x="76200" y="647700"/>
              </a:cubicBezTo>
              <a:cubicBezTo>
                <a:pt x="55916" y="684211"/>
                <a:pt x="59663" y="730912"/>
                <a:pt x="28575" y="762000"/>
              </a:cubicBezTo>
              <a:cubicBezTo>
                <a:pt x="20480" y="770095"/>
                <a:pt x="9525" y="774700"/>
                <a:pt x="0" y="781050"/>
              </a:cubicBezTo>
              <a:cubicBezTo>
                <a:pt x="3175" y="904875"/>
                <a:pt x="1286" y="1028934"/>
                <a:pt x="9525" y="1152525"/>
              </a:cubicBezTo>
              <a:cubicBezTo>
                <a:pt x="10861" y="1172561"/>
                <a:pt x="28575" y="1209675"/>
                <a:pt x="28575" y="1209675"/>
              </a:cubicBezTo>
              <a:cubicBezTo>
                <a:pt x="31750" y="1235075"/>
                <a:pt x="34717" y="1260502"/>
                <a:pt x="38100" y="1285875"/>
              </a:cubicBezTo>
              <a:cubicBezTo>
                <a:pt x="41067" y="1308129"/>
                <a:pt x="35172" y="1333870"/>
                <a:pt x="47625" y="1352550"/>
              </a:cubicBezTo>
              <a:cubicBezTo>
                <a:pt x="53194" y="1360904"/>
                <a:pt x="66675" y="1346200"/>
                <a:pt x="76200" y="1343025"/>
              </a:cubicBezTo>
              <a:cubicBezTo>
                <a:pt x="79375" y="1358900"/>
                <a:pt x="78485" y="1376170"/>
                <a:pt x="85725" y="1390650"/>
              </a:cubicBezTo>
              <a:cubicBezTo>
                <a:pt x="112165" y="1443530"/>
                <a:pt x="183664" y="1425851"/>
                <a:pt x="228600" y="1428750"/>
              </a:cubicBezTo>
              <a:cubicBezTo>
                <a:pt x="288883" y="1432639"/>
                <a:pt x="349250" y="1435100"/>
                <a:pt x="409575" y="1438275"/>
              </a:cubicBezTo>
              <a:cubicBezTo>
                <a:pt x="419100" y="1441450"/>
                <a:pt x="429373" y="1442924"/>
                <a:pt x="438150" y="1447800"/>
              </a:cubicBezTo>
              <a:cubicBezTo>
                <a:pt x="458164" y="1458919"/>
                <a:pt x="473580" y="1478660"/>
                <a:pt x="495300" y="1485900"/>
              </a:cubicBezTo>
              <a:lnTo>
                <a:pt x="523875" y="1495425"/>
              </a:lnTo>
              <a:cubicBezTo>
                <a:pt x="533400" y="1492250"/>
                <a:pt x="542487" y="1487145"/>
                <a:pt x="552450" y="1485900"/>
              </a:cubicBezTo>
              <a:cubicBezTo>
                <a:pt x="593527" y="1480765"/>
                <a:pt x="637996" y="1492137"/>
                <a:pt x="676275" y="1476375"/>
              </a:cubicBezTo>
              <a:cubicBezTo>
                <a:pt x="697446" y="1467658"/>
                <a:pt x="701675" y="1438275"/>
                <a:pt x="714375" y="1419225"/>
              </a:cubicBezTo>
              <a:cubicBezTo>
                <a:pt x="752878" y="1361471"/>
                <a:pt x="722024" y="1391686"/>
                <a:pt x="838200" y="1381125"/>
              </a:cubicBezTo>
              <a:cubicBezTo>
                <a:pt x="847725" y="1374775"/>
                <a:pt x="860425" y="1371600"/>
                <a:pt x="866775" y="1362075"/>
              </a:cubicBezTo>
              <a:cubicBezTo>
                <a:pt x="874037" y="1351183"/>
                <a:pt x="872704" y="1336562"/>
                <a:pt x="876300" y="1323975"/>
              </a:cubicBezTo>
              <a:cubicBezTo>
                <a:pt x="886159" y="1289469"/>
                <a:pt x="884003" y="1298134"/>
                <a:pt x="904875" y="1266825"/>
              </a:cubicBezTo>
              <a:cubicBezTo>
                <a:pt x="917575" y="1270000"/>
                <a:pt x="930436" y="1272588"/>
                <a:pt x="942975" y="1276350"/>
              </a:cubicBezTo>
              <a:cubicBezTo>
                <a:pt x="962209" y="1282120"/>
                <a:pt x="1000125" y="1295400"/>
                <a:pt x="1000125" y="1295400"/>
              </a:cubicBezTo>
              <a:cubicBezTo>
                <a:pt x="1009650" y="1292225"/>
                <a:pt x="1019720" y="1290365"/>
                <a:pt x="1028700" y="1285875"/>
              </a:cubicBezTo>
              <a:cubicBezTo>
                <a:pt x="1038939" y="1280755"/>
                <a:pt x="1047336" y="1261145"/>
                <a:pt x="1057275" y="1266825"/>
              </a:cubicBezTo>
              <a:cubicBezTo>
                <a:pt x="1099321" y="1290851"/>
                <a:pt x="1088847" y="1320444"/>
                <a:pt x="1104900" y="1352550"/>
              </a:cubicBezTo>
              <a:cubicBezTo>
                <a:pt x="1110020" y="1362789"/>
                <a:pt x="1115011" y="1373974"/>
                <a:pt x="1123950" y="1381125"/>
              </a:cubicBezTo>
              <a:cubicBezTo>
                <a:pt x="1131790" y="1387397"/>
                <a:pt x="1143000" y="1387475"/>
                <a:pt x="1152525" y="1390650"/>
              </a:cubicBezTo>
              <a:cubicBezTo>
                <a:pt x="1183906" y="1411571"/>
                <a:pt x="1192183" y="1426499"/>
                <a:pt x="1238250" y="1400175"/>
              </a:cubicBezTo>
              <a:cubicBezTo>
                <a:pt x="1246967" y="1395194"/>
                <a:pt x="1244600" y="1381125"/>
                <a:pt x="1247775" y="1371600"/>
              </a:cubicBezTo>
              <a:lnTo>
                <a:pt x="1266825" y="1428750"/>
              </a:lnTo>
              <a:cubicBezTo>
                <a:pt x="1270445" y="1439610"/>
                <a:pt x="1286606" y="1440471"/>
                <a:pt x="1295400" y="1447800"/>
              </a:cubicBezTo>
              <a:cubicBezTo>
                <a:pt x="1342966" y="1487438"/>
                <a:pt x="1302332" y="1469161"/>
                <a:pt x="1352550" y="1485900"/>
              </a:cubicBezTo>
              <a:cubicBezTo>
                <a:pt x="1358900" y="1495425"/>
                <a:pt x="1367580" y="1503756"/>
                <a:pt x="1371600" y="1514475"/>
              </a:cubicBezTo>
              <a:cubicBezTo>
                <a:pt x="1372856" y="1517824"/>
                <a:pt x="1382355" y="1580306"/>
                <a:pt x="1390650" y="1590675"/>
              </a:cubicBezTo>
              <a:cubicBezTo>
                <a:pt x="1404079" y="1607461"/>
                <a:pt x="1428976" y="1612975"/>
                <a:pt x="1447800" y="1619250"/>
              </a:cubicBezTo>
              <a:cubicBezTo>
                <a:pt x="1517650" y="1616075"/>
                <a:pt x="1587606" y="1614707"/>
                <a:pt x="1657350" y="1609725"/>
              </a:cubicBezTo>
              <a:cubicBezTo>
                <a:pt x="1676614" y="1608349"/>
                <a:pt x="1696178" y="1606307"/>
                <a:pt x="1714500" y="1600200"/>
              </a:cubicBezTo>
              <a:cubicBezTo>
                <a:pt x="1725360" y="1596580"/>
                <a:pt x="1733550" y="1587500"/>
                <a:pt x="1743075" y="1581150"/>
              </a:cubicBezTo>
              <a:cubicBezTo>
                <a:pt x="1793021" y="1588285"/>
                <a:pt x="1818442" y="1591389"/>
                <a:pt x="1866900" y="1600200"/>
              </a:cubicBezTo>
              <a:cubicBezTo>
                <a:pt x="1882828" y="1603096"/>
                <a:pt x="1898819" y="1605798"/>
                <a:pt x="1914525" y="1609725"/>
              </a:cubicBezTo>
              <a:cubicBezTo>
                <a:pt x="1924265" y="1612160"/>
                <a:pt x="1933575" y="1616075"/>
                <a:pt x="1943100" y="1619250"/>
              </a:cubicBezTo>
              <a:cubicBezTo>
                <a:pt x="1952625" y="1628775"/>
                <a:pt x="1964203" y="1636617"/>
                <a:pt x="1971675" y="1647825"/>
              </a:cubicBezTo>
              <a:cubicBezTo>
                <a:pt x="1977244" y="1656179"/>
                <a:pt x="1974928" y="1668560"/>
                <a:pt x="1981200" y="1676400"/>
              </a:cubicBezTo>
              <a:cubicBezTo>
                <a:pt x="1988351" y="1685339"/>
                <a:pt x="2000250" y="1689100"/>
                <a:pt x="2009775" y="1695450"/>
              </a:cubicBezTo>
              <a:cubicBezTo>
                <a:pt x="2032445" y="1763460"/>
                <a:pt x="2045533" y="1741461"/>
                <a:pt x="2000250" y="1771650"/>
              </a:cubicBezTo>
              <a:cubicBezTo>
                <a:pt x="1971675" y="1768475"/>
                <a:pt x="1942942" y="1766497"/>
                <a:pt x="1914525" y="1762125"/>
              </a:cubicBezTo>
              <a:cubicBezTo>
                <a:pt x="1901586" y="1760134"/>
                <a:pt x="1886647" y="1760778"/>
                <a:pt x="1876425" y="1752600"/>
              </a:cubicBezTo>
              <a:cubicBezTo>
                <a:pt x="1868585" y="1746328"/>
                <a:pt x="1875070" y="1729861"/>
                <a:pt x="1866900" y="1724025"/>
              </a:cubicBezTo>
              <a:cubicBezTo>
                <a:pt x="1850560" y="1712353"/>
                <a:pt x="1809750" y="1704975"/>
                <a:pt x="1809750" y="1704975"/>
              </a:cubicBezTo>
              <a:cubicBezTo>
                <a:pt x="1794196" y="1728306"/>
                <a:pt x="1775622" y="1740896"/>
                <a:pt x="1800225" y="1771650"/>
              </a:cubicBezTo>
              <a:cubicBezTo>
                <a:pt x="1806497" y="1779490"/>
                <a:pt x="1819275" y="1778000"/>
                <a:pt x="1828800" y="1781175"/>
              </a:cubicBezTo>
              <a:cubicBezTo>
                <a:pt x="1838325" y="1787525"/>
                <a:pt x="1850224" y="1791286"/>
                <a:pt x="1857375" y="1800225"/>
              </a:cubicBezTo>
              <a:cubicBezTo>
                <a:pt x="1863647" y="1808065"/>
                <a:pt x="1866900" y="1818760"/>
                <a:pt x="1866900" y="1828800"/>
              </a:cubicBezTo>
              <a:cubicBezTo>
                <a:pt x="1866900" y="1870197"/>
                <a:pt x="1863831" y="1911735"/>
                <a:pt x="1857375" y="1952625"/>
              </a:cubicBezTo>
              <a:cubicBezTo>
                <a:pt x="1854243" y="1972460"/>
                <a:pt x="1844675" y="1990725"/>
                <a:pt x="1838325" y="2009775"/>
              </a:cubicBezTo>
              <a:lnTo>
                <a:pt x="1828800" y="2038350"/>
              </a:lnTo>
              <a:cubicBezTo>
                <a:pt x="1825625" y="2047875"/>
                <a:pt x="1824844" y="2058571"/>
                <a:pt x="1819275" y="2066925"/>
              </a:cubicBezTo>
              <a:cubicBezTo>
                <a:pt x="1794656" y="2103854"/>
                <a:pt x="1803845" y="2084640"/>
                <a:pt x="1790700" y="2124075"/>
              </a:cubicBezTo>
              <a:cubicBezTo>
                <a:pt x="1793875" y="2139950"/>
                <a:pt x="1796298" y="2155994"/>
                <a:pt x="1800225" y="2171700"/>
              </a:cubicBezTo>
              <a:cubicBezTo>
                <a:pt x="1802660" y="2181440"/>
                <a:pt x="1802650" y="2193175"/>
                <a:pt x="1809750" y="2200275"/>
              </a:cubicBezTo>
              <a:cubicBezTo>
                <a:pt x="1816850" y="2207375"/>
                <a:pt x="1828800" y="2206625"/>
                <a:pt x="1838325" y="2209800"/>
              </a:cubicBezTo>
              <a:cubicBezTo>
                <a:pt x="1847473" y="2223522"/>
                <a:pt x="1874564" y="2247868"/>
                <a:pt x="1847850" y="2266950"/>
              </a:cubicBezTo>
              <a:cubicBezTo>
                <a:pt x="1831510" y="2278622"/>
                <a:pt x="1790700" y="2286000"/>
                <a:pt x="1790700" y="2286000"/>
              </a:cubicBezTo>
              <a:cubicBezTo>
                <a:pt x="1784350" y="2295525"/>
                <a:pt x="1776770" y="2304336"/>
                <a:pt x="1771650" y="2314575"/>
              </a:cubicBezTo>
              <a:cubicBezTo>
                <a:pt x="1740237" y="2377401"/>
                <a:pt x="1789843" y="2340630"/>
                <a:pt x="1866900" y="2333625"/>
              </a:cubicBezTo>
              <a:cubicBezTo>
                <a:pt x="1885950" y="2327275"/>
                <a:pt x="1912911" y="2331283"/>
                <a:pt x="1924050" y="2314575"/>
              </a:cubicBezTo>
              <a:cubicBezTo>
                <a:pt x="1930400" y="2305050"/>
                <a:pt x="1935005" y="2294095"/>
                <a:pt x="1943100" y="2286000"/>
              </a:cubicBezTo>
              <a:cubicBezTo>
                <a:pt x="1961564" y="2267536"/>
                <a:pt x="1977009" y="2265172"/>
                <a:pt x="2000250" y="2257425"/>
              </a:cubicBezTo>
              <a:cubicBezTo>
                <a:pt x="2006600" y="2247900"/>
                <a:pt x="2011971" y="2237644"/>
                <a:pt x="2019300" y="2228850"/>
              </a:cubicBezTo>
              <a:cubicBezTo>
                <a:pt x="2027924" y="2218502"/>
                <a:pt x="2040403" y="2211483"/>
                <a:pt x="2047875" y="2200275"/>
              </a:cubicBezTo>
              <a:cubicBezTo>
                <a:pt x="2076904" y="2156732"/>
                <a:pt x="2031546" y="2180318"/>
                <a:pt x="2085975" y="2162175"/>
              </a:cubicBezTo>
              <a:cubicBezTo>
                <a:pt x="2092325" y="2152650"/>
                <a:pt x="2095317" y="2139667"/>
                <a:pt x="2105025" y="2133600"/>
              </a:cubicBezTo>
              <a:cubicBezTo>
                <a:pt x="2122053" y="2122957"/>
                <a:pt x="2162175" y="2114550"/>
                <a:pt x="2162175" y="2114550"/>
              </a:cubicBezTo>
              <a:cubicBezTo>
                <a:pt x="2168525" y="2105025"/>
                <a:pt x="2172286" y="2093126"/>
                <a:pt x="2181225" y="2085975"/>
              </a:cubicBezTo>
              <a:cubicBezTo>
                <a:pt x="2189065" y="2079703"/>
                <a:pt x="2202700" y="2083550"/>
                <a:pt x="2209800" y="2076450"/>
              </a:cubicBezTo>
              <a:cubicBezTo>
                <a:pt x="2216900" y="2069350"/>
                <a:pt x="2214835" y="2056855"/>
                <a:pt x="2219325" y="2047875"/>
              </a:cubicBezTo>
              <a:cubicBezTo>
                <a:pt x="2224445" y="2037636"/>
                <a:pt x="2232025" y="2028825"/>
                <a:pt x="2238375" y="2019300"/>
              </a:cubicBezTo>
              <a:cubicBezTo>
                <a:pt x="2235200" y="2009775"/>
                <a:pt x="2233726" y="1999502"/>
                <a:pt x="2228850" y="1990725"/>
              </a:cubicBezTo>
              <a:cubicBezTo>
                <a:pt x="2217731" y="1970711"/>
                <a:pt x="2197990" y="1955295"/>
                <a:pt x="2190750" y="1933575"/>
              </a:cubicBezTo>
              <a:lnTo>
                <a:pt x="2181225" y="1905000"/>
              </a:lnTo>
              <a:cubicBezTo>
                <a:pt x="2190750" y="1895475"/>
                <a:pt x="2199452" y="1885049"/>
                <a:pt x="2209800" y="1876425"/>
              </a:cubicBezTo>
              <a:cubicBezTo>
                <a:pt x="2218594" y="1869096"/>
                <a:pt x="2230280" y="1865470"/>
                <a:pt x="2238375" y="1857375"/>
              </a:cubicBezTo>
              <a:cubicBezTo>
                <a:pt x="2246470" y="1849280"/>
                <a:pt x="2247717" y="1834867"/>
                <a:pt x="2257425" y="1828800"/>
              </a:cubicBezTo>
              <a:cubicBezTo>
                <a:pt x="2274453" y="1818157"/>
                <a:pt x="2295525" y="1816100"/>
                <a:pt x="2314575" y="1809750"/>
              </a:cubicBezTo>
              <a:lnTo>
                <a:pt x="2371725" y="1790700"/>
              </a:lnTo>
              <a:lnTo>
                <a:pt x="2400300" y="1781175"/>
              </a:lnTo>
              <a:cubicBezTo>
                <a:pt x="2406650" y="1771650"/>
                <a:pt x="2409825" y="1758950"/>
                <a:pt x="2419350" y="1752600"/>
              </a:cubicBezTo>
              <a:cubicBezTo>
                <a:pt x="2430242" y="1745338"/>
                <a:pt x="2444863" y="1746671"/>
                <a:pt x="2457450" y="1743075"/>
              </a:cubicBezTo>
              <a:cubicBezTo>
                <a:pt x="2467104" y="1740317"/>
                <a:pt x="2476500" y="1736725"/>
                <a:pt x="2486025" y="1733550"/>
              </a:cubicBezTo>
              <a:cubicBezTo>
                <a:pt x="2492375" y="1724025"/>
                <a:pt x="2496980" y="1713070"/>
                <a:pt x="2505075" y="1704975"/>
              </a:cubicBezTo>
              <a:cubicBezTo>
                <a:pt x="2513170" y="1696880"/>
                <a:pt x="2526112" y="1694540"/>
                <a:pt x="2533650" y="1685925"/>
              </a:cubicBezTo>
              <a:cubicBezTo>
                <a:pt x="2548727" y="1668695"/>
                <a:pt x="2555561" y="1644964"/>
                <a:pt x="2571750" y="1628775"/>
              </a:cubicBezTo>
              <a:lnTo>
                <a:pt x="2600325" y="1600200"/>
              </a:lnTo>
              <a:cubicBezTo>
                <a:pt x="2621107" y="1537855"/>
                <a:pt x="2592243" y="1599045"/>
                <a:pt x="2638425" y="1562100"/>
              </a:cubicBezTo>
              <a:cubicBezTo>
                <a:pt x="2647364" y="1554949"/>
                <a:pt x="2651125" y="1543050"/>
                <a:pt x="2657475" y="1533525"/>
              </a:cubicBezTo>
              <a:cubicBezTo>
                <a:pt x="2660650" y="1504950"/>
                <a:pt x="2667000" y="1476551"/>
                <a:pt x="2667000" y="1447800"/>
              </a:cubicBezTo>
              <a:cubicBezTo>
                <a:pt x="2667000" y="1434709"/>
                <a:pt x="2667948" y="1417555"/>
                <a:pt x="2657475" y="1409700"/>
              </a:cubicBezTo>
              <a:cubicBezTo>
                <a:pt x="2649443" y="1403676"/>
                <a:pt x="2638640" y="1416790"/>
                <a:pt x="2628900" y="1419225"/>
              </a:cubicBezTo>
              <a:cubicBezTo>
                <a:pt x="2613194" y="1423152"/>
                <a:pt x="2596894" y="1424490"/>
                <a:pt x="2581275" y="1428750"/>
              </a:cubicBezTo>
              <a:cubicBezTo>
                <a:pt x="2561902" y="1434034"/>
                <a:pt x="2543175" y="1441450"/>
                <a:pt x="2524125" y="1447800"/>
              </a:cubicBezTo>
              <a:cubicBezTo>
                <a:pt x="2514600" y="1450975"/>
                <a:pt x="2505513" y="1456080"/>
                <a:pt x="2495550" y="1457325"/>
              </a:cubicBezTo>
              <a:lnTo>
                <a:pt x="2419350" y="1466850"/>
              </a:lnTo>
              <a:cubicBezTo>
                <a:pt x="2355850" y="1463675"/>
                <a:pt x="2292210" y="1462605"/>
                <a:pt x="2228850" y="1457325"/>
              </a:cubicBezTo>
              <a:cubicBezTo>
                <a:pt x="2215804" y="1456238"/>
                <a:pt x="2203630" y="1450142"/>
                <a:pt x="2190750" y="1447800"/>
              </a:cubicBezTo>
              <a:cubicBezTo>
                <a:pt x="2168661" y="1443784"/>
                <a:pt x="2146300" y="1441450"/>
                <a:pt x="2124075" y="1438275"/>
              </a:cubicBezTo>
              <a:lnTo>
                <a:pt x="2066925" y="1400175"/>
              </a:lnTo>
              <a:lnTo>
                <a:pt x="2038350" y="1381125"/>
              </a:lnTo>
              <a:cubicBezTo>
                <a:pt x="1970277" y="1279015"/>
                <a:pt x="2076288" y="1433984"/>
                <a:pt x="1990725" y="1323975"/>
              </a:cubicBezTo>
              <a:cubicBezTo>
                <a:pt x="1976669" y="1305903"/>
                <a:pt x="1965325" y="1285875"/>
                <a:pt x="1952625" y="1266825"/>
              </a:cubicBezTo>
              <a:cubicBezTo>
                <a:pt x="1941486" y="1250117"/>
                <a:pt x="1939925" y="1228725"/>
                <a:pt x="1933575" y="1209675"/>
              </a:cubicBezTo>
              <a:lnTo>
                <a:pt x="1905000" y="1123950"/>
              </a:lnTo>
              <a:lnTo>
                <a:pt x="1895475" y="1095375"/>
              </a:lnTo>
              <a:cubicBezTo>
                <a:pt x="1892300" y="1085850"/>
                <a:pt x="1891519" y="1075154"/>
                <a:pt x="1885950" y="1066800"/>
              </a:cubicBezTo>
              <a:cubicBezTo>
                <a:pt x="1879600" y="1057275"/>
                <a:pt x="1871549" y="1048686"/>
                <a:pt x="1866900" y="1038225"/>
              </a:cubicBezTo>
              <a:cubicBezTo>
                <a:pt x="1858745" y="1019875"/>
                <a:pt x="1854200" y="1000125"/>
                <a:pt x="1847850" y="981075"/>
              </a:cubicBezTo>
              <a:lnTo>
                <a:pt x="1809750" y="866775"/>
              </a:lnTo>
              <a:lnTo>
                <a:pt x="1743075" y="666750"/>
              </a:lnTo>
              <a:lnTo>
                <a:pt x="1724025" y="609600"/>
              </a:lnTo>
              <a:lnTo>
                <a:pt x="1714500" y="581025"/>
              </a:lnTo>
              <a:cubicBezTo>
                <a:pt x="1704975" y="584200"/>
                <a:pt x="1693025" y="583450"/>
                <a:pt x="1685925" y="590550"/>
              </a:cubicBezTo>
              <a:cubicBezTo>
                <a:pt x="1678825" y="597650"/>
                <a:pt x="1678835" y="609385"/>
                <a:pt x="1676400" y="619125"/>
              </a:cubicBezTo>
              <a:cubicBezTo>
                <a:pt x="1672473" y="634831"/>
                <a:pt x="1675855" y="653280"/>
                <a:pt x="1666875" y="666750"/>
              </a:cubicBezTo>
              <a:cubicBezTo>
                <a:pt x="1661306" y="675104"/>
                <a:pt x="1647825" y="673100"/>
                <a:pt x="1638300" y="676275"/>
              </a:cubicBezTo>
              <a:cubicBezTo>
                <a:pt x="1628775" y="669925"/>
                <a:pt x="1617820" y="665320"/>
                <a:pt x="1609725" y="657225"/>
              </a:cubicBezTo>
              <a:cubicBezTo>
                <a:pt x="1574583" y="622083"/>
                <a:pt x="1608913" y="631283"/>
                <a:pt x="1562100" y="600075"/>
              </a:cubicBezTo>
              <a:cubicBezTo>
                <a:pt x="1553746" y="594506"/>
                <a:pt x="1543050" y="593725"/>
                <a:pt x="1533525" y="590550"/>
              </a:cubicBezTo>
              <a:cubicBezTo>
                <a:pt x="1514475" y="577850"/>
                <a:pt x="1498095" y="559690"/>
                <a:pt x="1476375" y="552450"/>
              </a:cubicBezTo>
              <a:lnTo>
                <a:pt x="1419225" y="533400"/>
              </a:lnTo>
              <a:cubicBezTo>
                <a:pt x="1409700" y="523875"/>
                <a:pt x="1399274" y="515173"/>
                <a:pt x="1390650" y="504825"/>
              </a:cubicBezTo>
              <a:cubicBezTo>
                <a:pt x="1324345" y="425259"/>
                <a:pt x="1426507" y="531157"/>
                <a:pt x="1343025" y="447675"/>
              </a:cubicBezTo>
              <a:cubicBezTo>
                <a:pt x="1339850" y="438150"/>
                <a:pt x="1338376" y="427877"/>
                <a:pt x="1333500" y="419100"/>
              </a:cubicBezTo>
              <a:cubicBezTo>
                <a:pt x="1322381" y="399086"/>
                <a:pt x="1302640" y="383670"/>
                <a:pt x="1295400" y="361950"/>
              </a:cubicBezTo>
              <a:cubicBezTo>
                <a:pt x="1281615" y="320596"/>
                <a:pt x="1292975" y="340475"/>
                <a:pt x="1257300" y="304800"/>
              </a:cubicBezTo>
              <a:cubicBezTo>
                <a:pt x="1250950" y="285750"/>
                <a:pt x="1241551" y="267457"/>
                <a:pt x="1238250" y="247650"/>
              </a:cubicBezTo>
              <a:cubicBezTo>
                <a:pt x="1231900" y="209550"/>
                <a:pt x="1231414" y="169993"/>
                <a:pt x="1219200" y="133350"/>
              </a:cubicBezTo>
              <a:cubicBezTo>
                <a:pt x="1210104" y="106061"/>
                <a:pt x="1213413" y="96496"/>
                <a:pt x="1181100" y="85725"/>
              </a:cubicBezTo>
              <a:cubicBezTo>
                <a:pt x="1171188" y="82421"/>
                <a:pt x="1062412" y="67409"/>
                <a:pt x="1057275" y="66675"/>
              </a:cubicBezTo>
              <a:cubicBezTo>
                <a:pt x="1022350" y="69850"/>
                <a:pt x="987261" y="71565"/>
                <a:pt x="952500" y="76200"/>
              </a:cubicBezTo>
              <a:cubicBezTo>
                <a:pt x="932566" y="78858"/>
                <a:pt x="905415" y="88720"/>
                <a:pt x="885825" y="95250"/>
              </a:cubicBezTo>
              <a:cubicBezTo>
                <a:pt x="863600" y="92075"/>
                <a:pt x="841026" y="90773"/>
                <a:pt x="819150" y="85725"/>
              </a:cubicBezTo>
              <a:cubicBezTo>
                <a:pt x="799584" y="81210"/>
                <a:pt x="781050" y="73025"/>
                <a:pt x="762000" y="66675"/>
              </a:cubicBezTo>
              <a:lnTo>
                <a:pt x="647700" y="28575"/>
              </a:lnTo>
              <a:lnTo>
                <a:pt x="590550" y="9525"/>
              </a:lnTo>
              <a:cubicBezTo>
                <a:pt x="581025" y="6350"/>
                <a:pt x="572015" y="0"/>
                <a:pt x="561975" y="0"/>
              </a:cubicBezTo>
              <a:lnTo>
                <a:pt x="55245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482856</xdr:colOff>
      <xdr:row>106</xdr:row>
      <xdr:rowOff>133350</xdr:rowOff>
    </xdr:from>
    <xdr:to>
      <xdr:col>14</xdr:col>
      <xdr:colOff>352425</xdr:colOff>
      <xdr:row>114</xdr:row>
      <xdr:rowOff>38798</xdr:rowOff>
    </xdr:to>
    <xdr:sp macro="" textlink="">
      <xdr:nvSpPr>
        <xdr:cNvPr id="78" name="New_Brunswick"/>
        <xdr:cNvSpPr/>
      </xdr:nvSpPr>
      <xdr:spPr>
        <a:xfrm>
          <a:off x="7302756" y="17592675"/>
          <a:ext cx="1088769" cy="1200848"/>
        </a:xfrm>
        <a:custGeom>
          <a:avLst/>
          <a:gdLst>
            <a:gd name="connsiteX0" fmla="*/ 2919 w 1088769"/>
            <a:gd name="connsiteY0" fmla="*/ 1200150 h 1200848"/>
            <a:gd name="connsiteX1" fmla="*/ 50544 w 1088769"/>
            <a:gd name="connsiteY1" fmla="*/ 1190625 h 1200848"/>
            <a:gd name="connsiteX2" fmla="*/ 107694 w 1088769"/>
            <a:gd name="connsiteY2" fmla="*/ 1171575 h 1200848"/>
            <a:gd name="connsiteX3" fmla="*/ 193419 w 1088769"/>
            <a:gd name="connsiteY3" fmla="*/ 1133475 h 1200848"/>
            <a:gd name="connsiteX4" fmla="*/ 307719 w 1088769"/>
            <a:gd name="connsiteY4" fmla="*/ 1114425 h 1200848"/>
            <a:gd name="connsiteX5" fmla="*/ 336294 w 1088769"/>
            <a:gd name="connsiteY5" fmla="*/ 1085850 h 1200848"/>
            <a:gd name="connsiteX6" fmla="*/ 345819 w 1088769"/>
            <a:gd name="connsiteY6" fmla="*/ 1028700 h 1200848"/>
            <a:gd name="connsiteX7" fmla="*/ 374394 w 1088769"/>
            <a:gd name="connsiteY7" fmla="*/ 904875 h 1200848"/>
            <a:gd name="connsiteX8" fmla="*/ 364869 w 1088769"/>
            <a:gd name="connsiteY8" fmla="*/ 752475 h 1200848"/>
            <a:gd name="connsiteX9" fmla="*/ 355344 w 1088769"/>
            <a:gd name="connsiteY9" fmla="*/ 714375 h 1200848"/>
            <a:gd name="connsiteX10" fmla="*/ 345819 w 1088769"/>
            <a:gd name="connsiteY10" fmla="*/ 647700 h 1200848"/>
            <a:gd name="connsiteX11" fmla="*/ 355344 w 1088769"/>
            <a:gd name="connsiteY11" fmla="*/ 609600 h 1200848"/>
            <a:gd name="connsiteX12" fmla="*/ 383919 w 1088769"/>
            <a:gd name="connsiteY12" fmla="*/ 600075 h 1200848"/>
            <a:gd name="connsiteX13" fmla="*/ 412494 w 1088769"/>
            <a:gd name="connsiteY13" fmla="*/ 581025 h 1200848"/>
            <a:gd name="connsiteX14" fmla="*/ 422019 w 1088769"/>
            <a:gd name="connsiteY14" fmla="*/ 552450 h 1200848"/>
            <a:gd name="connsiteX15" fmla="*/ 479169 w 1088769"/>
            <a:gd name="connsiteY15" fmla="*/ 523875 h 1200848"/>
            <a:gd name="connsiteX16" fmla="*/ 583944 w 1088769"/>
            <a:gd name="connsiteY16" fmla="*/ 533400 h 1200848"/>
            <a:gd name="connsiteX17" fmla="*/ 593469 w 1088769"/>
            <a:gd name="connsiteY17" fmla="*/ 590550 h 1200848"/>
            <a:gd name="connsiteX18" fmla="*/ 641094 w 1088769"/>
            <a:gd name="connsiteY18" fmla="*/ 638175 h 1200848"/>
            <a:gd name="connsiteX19" fmla="*/ 660144 w 1088769"/>
            <a:gd name="connsiteY19" fmla="*/ 666750 h 1200848"/>
            <a:gd name="connsiteX20" fmla="*/ 669669 w 1088769"/>
            <a:gd name="connsiteY20" fmla="*/ 704850 h 1200848"/>
            <a:gd name="connsiteX21" fmla="*/ 726819 w 1088769"/>
            <a:gd name="connsiteY21" fmla="*/ 714375 h 1200848"/>
            <a:gd name="connsiteX22" fmla="*/ 793494 w 1088769"/>
            <a:gd name="connsiteY22" fmla="*/ 781050 h 1200848"/>
            <a:gd name="connsiteX23" fmla="*/ 860169 w 1088769"/>
            <a:gd name="connsiteY23" fmla="*/ 762000 h 1200848"/>
            <a:gd name="connsiteX24" fmla="*/ 898269 w 1088769"/>
            <a:gd name="connsiteY24" fmla="*/ 723900 h 1200848"/>
            <a:gd name="connsiteX25" fmla="*/ 964944 w 1088769"/>
            <a:gd name="connsiteY25" fmla="*/ 657225 h 1200848"/>
            <a:gd name="connsiteX26" fmla="*/ 983994 w 1088769"/>
            <a:gd name="connsiteY26" fmla="*/ 628650 h 1200848"/>
            <a:gd name="connsiteX27" fmla="*/ 1022094 w 1088769"/>
            <a:gd name="connsiteY27" fmla="*/ 600075 h 1200848"/>
            <a:gd name="connsiteX28" fmla="*/ 1050669 w 1088769"/>
            <a:gd name="connsiteY28" fmla="*/ 571500 h 1200848"/>
            <a:gd name="connsiteX29" fmla="*/ 1069719 w 1088769"/>
            <a:gd name="connsiteY29" fmla="*/ 514350 h 1200848"/>
            <a:gd name="connsiteX30" fmla="*/ 1079244 w 1088769"/>
            <a:gd name="connsiteY30" fmla="*/ 457200 h 1200848"/>
            <a:gd name="connsiteX31" fmla="*/ 1088769 w 1088769"/>
            <a:gd name="connsiteY31" fmla="*/ 428625 h 1200848"/>
            <a:gd name="connsiteX32" fmla="*/ 1079244 w 1088769"/>
            <a:gd name="connsiteY32" fmla="*/ 400050 h 1200848"/>
            <a:gd name="connsiteX33" fmla="*/ 1041144 w 1088769"/>
            <a:gd name="connsiteY33" fmla="*/ 409575 h 1200848"/>
            <a:gd name="connsiteX34" fmla="*/ 993519 w 1088769"/>
            <a:gd name="connsiteY34" fmla="*/ 400050 h 1200848"/>
            <a:gd name="connsiteX35" fmla="*/ 936369 w 1088769"/>
            <a:gd name="connsiteY35" fmla="*/ 381000 h 1200848"/>
            <a:gd name="connsiteX36" fmla="*/ 917319 w 1088769"/>
            <a:gd name="connsiteY36" fmla="*/ 352425 h 1200848"/>
            <a:gd name="connsiteX37" fmla="*/ 888744 w 1088769"/>
            <a:gd name="connsiteY37" fmla="*/ 323850 h 1200848"/>
            <a:gd name="connsiteX38" fmla="*/ 879219 w 1088769"/>
            <a:gd name="connsiteY38" fmla="*/ 295275 h 1200848"/>
            <a:gd name="connsiteX39" fmla="*/ 812544 w 1088769"/>
            <a:gd name="connsiteY39" fmla="*/ 219075 h 1200848"/>
            <a:gd name="connsiteX40" fmla="*/ 774444 w 1088769"/>
            <a:gd name="connsiteY40" fmla="*/ 228600 h 1200848"/>
            <a:gd name="connsiteX41" fmla="*/ 764919 w 1088769"/>
            <a:gd name="connsiteY41" fmla="*/ 257175 h 1200848"/>
            <a:gd name="connsiteX42" fmla="*/ 736344 w 1088769"/>
            <a:gd name="connsiteY42" fmla="*/ 266700 h 1200848"/>
            <a:gd name="connsiteX43" fmla="*/ 688719 w 1088769"/>
            <a:gd name="connsiteY43" fmla="*/ 257175 h 1200848"/>
            <a:gd name="connsiteX44" fmla="*/ 726819 w 1088769"/>
            <a:gd name="connsiteY44" fmla="*/ 219075 h 1200848"/>
            <a:gd name="connsiteX45" fmla="*/ 755394 w 1088769"/>
            <a:gd name="connsiteY45" fmla="*/ 200025 h 1200848"/>
            <a:gd name="connsiteX46" fmla="*/ 764919 w 1088769"/>
            <a:gd name="connsiteY46" fmla="*/ 171450 h 1200848"/>
            <a:gd name="connsiteX47" fmla="*/ 755394 w 1088769"/>
            <a:gd name="connsiteY47" fmla="*/ 0 h 1200848"/>
            <a:gd name="connsiteX48" fmla="*/ 679194 w 1088769"/>
            <a:gd name="connsiteY48" fmla="*/ 19050 h 1200848"/>
            <a:gd name="connsiteX49" fmla="*/ 641094 w 1088769"/>
            <a:gd name="connsiteY49" fmla="*/ 28575 h 1200848"/>
            <a:gd name="connsiteX50" fmla="*/ 583944 w 1088769"/>
            <a:gd name="connsiteY50" fmla="*/ 66675 h 1200848"/>
            <a:gd name="connsiteX51" fmla="*/ 555369 w 1088769"/>
            <a:gd name="connsiteY51" fmla="*/ 123825 h 1200848"/>
            <a:gd name="connsiteX52" fmla="*/ 498219 w 1088769"/>
            <a:gd name="connsiteY52" fmla="*/ 161925 h 1200848"/>
            <a:gd name="connsiteX53" fmla="*/ 469644 w 1088769"/>
            <a:gd name="connsiteY53" fmla="*/ 180975 h 1200848"/>
            <a:gd name="connsiteX54" fmla="*/ 422019 w 1088769"/>
            <a:gd name="connsiteY54" fmla="*/ 266700 h 1200848"/>
            <a:gd name="connsiteX55" fmla="*/ 383919 w 1088769"/>
            <a:gd name="connsiteY55" fmla="*/ 323850 h 1200848"/>
            <a:gd name="connsiteX56" fmla="*/ 364869 w 1088769"/>
            <a:gd name="connsiteY56" fmla="*/ 381000 h 1200848"/>
            <a:gd name="connsiteX57" fmla="*/ 345819 w 1088769"/>
            <a:gd name="connsiteY57" fmla="*/ 409575 h 1200848"/>
            <a:gd name="connsiteX58" fmla="*/ 326769 w 1088769"/>
            <a:gd name="connsiteY58" fmla="*/ 466725 h 1200848"/>
            <a:gd name="connsiteX59" fmla="*/ 298194 w 1088769"/>
            <a:gd name="connsiteY59" fmla="*/ 552450 h 1200848"/>
            <a:gd name="connsiteX60" fmla="*/ 288669 w 1088769"/>
            <a:gd name="connsiteY60" fmla="*/ 581025 h 1200848"/>
            <a:gd name="connsiteX61" fmla="*/ 269619 w 1088769"/>
            <a:gd name="connsiteY61" fmla="*/ 676275 h 1200848"/>
            <a:gd name="connsiteX62" fmla="*/ 250569 w 1088769"/>
            <a:gd name="connsiteY62" fmla="*/ 704850 h 1200848"/>
            <a:gd name="connsiteX63" fmla="*/ 231519 w 1088769"/>
            <a:gd name="connsiteY63" fmla="*/ 762000 h 1200848"/>
            <a:gd name="connsiteX64" fmla="*/ 221994 w 1088769"/>
            <a:gd name="connsiteY64" fmla="*/ 790575 h 1200848"/>
            <a:gd name="connsiteX65" fmla="*/ 212469 w 1088769"/>
            <a:gd name="connsiteY65" fmla="*/ 828675 h 1200848"/>
            <a:gd name="connsiteX66" fmla="*/ 183894 w 1088769"/>
            <a:gd name="connsiteY66" fmla="*/ 914400 h 1200848"/>
            <a:gd name="connsiteX67" fmla="*/ 174369 w 1088769"/>
            <a:gd name="connsiteY67" fmla="*/ 942975 h 1200848"/>
            <a:gd name="connsiteX68" fmla="*/ 164844 w 1088769"/>
            <a:gd name="connsiteY68" fmla="*/ 971550 h 1200848"/>
            <a:gd name="connsiteX69" fmla="*/ 126744 w 1088769"/>
            <a:gd name="connsiteY69" fmla="*/ 1028700 h 1200848"/>
            <a:gd name="connsiteX70" fmla="*/ 88644 w 1088769"/>
            <a:gd name="connsiteY70" fmla="*/ 1114425 h 1200848"/>
            <a:gd name="connsiteX71" fmla="*/ 60069 w 1088769"/>
            <a:gd name="connsiteY71" fmla="*/ 1123950 h 1200848"/>
            <a:gd name="connsiteX72" fmla="*/ 12444 w 1088769"/>
            <a:gd name="connsiteY72" fmla="*/ 1171575 h 1200848"/>
            <a:gd name="connsiteX73" fmla="*/ 2919 w 1088769"/>
            <a:gd name="connsiteY73" fmla="*/ 1200150 h 12008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1088769" h="1200848">
              <a:moveTo>
                <a:pt x="2919" y="1200150"/>
              </a:moveTo>
              <a:cubicBezTo>
                <a:pt x="9269" y="1203325"/>
                <a:pt x="34925" y="1194885"/>
                <a:pt x="50544" y="1190625"/>
              </a:cubicBezTo>
              <a:cubicBezTo>
                <a:pt x="69917" y="1185341"/>
                <a:pt x="107694" y="1171575"/>
                <a:pt x="107694" y="1171575"/>
              </a:cubicBezTo>
              <a:cubicBezTo>
                <a:pt x="152977" y="1141386"/>
                <a:pt x="125409" y="1156145"/>
                <a:pt x="193419" y="1133475"/>
              </a:cubicBezTo>
              <a:cubicBezTo>
                <a:pt x="230062" y="1121261"/>
                <a:pt x="307719" y="1114425"/>
                <a:pt x="307719" y="1114425"/>
              </a:cubicBezTo>
              <a:cubicBezTo>
                <a:pt x="317244" y="1104900"/>
                <a:pt x="330823" y="1098159"/>
                <a:pt x="336294" y="1085850"/>
              </a:cubicBezTo>
              <a:cubicBezTo>
                <a:pt x="344138" y="1068202"/>
                <a:pt x="342260" y="1047682"/>
                <a:pt x="345819" y="1028700"/>
              </a:cubicBezTo>
              <a:cubicBezTo>
                <a:pt x="363835" y="932613"/>
                <a:pt x="355561" y="961374"/>
                <a:pt x="374394" y="904875"/>
              </a:cubicBezTo>
              <a:cubicBezTo>
                <a:pt x="371219" y="854075"/>
                <a:pt x="369934" y="803122"/>
                <a:pt x="364869" y="752475"/>
              </a:cubicBezTo>
              <a:cubicBezTo>
                <a:pt x="363566" y="739449"/>
                <a:pt x="357686" y="727255"/>
                <a:pt x="355344" y="714375"/>
              </a:cubicBezTo>
              <a:cubicBezTo>
                <a:pt x="351328" y="692286"/>
                <a:pt x="348994" y="669925"/>
                <a:pt x="345819" y="647700"/>
              </a:cubicBezTo>
              <a:cubicBezTo>
                <a:pt x="348994" y="635000"/>
                <a:pt x="347166" y="619822"/>
                <a:pt x="355344" y="609600"/>
              </a:cubicBezTo>
              <a:cubicBezTo>
                <a:pt x="361616" y="601760"/>
                <a:pt x="374939" y="604565"/>
                <a:pt x="383919" y="600075"/>
              </a:cubicBezTo>
              <a:cubicBezTo>
                <a:pt x="394158" y="594955"/>
                <a:pt x="402969" y="587375"/>
                <a:pt x="412494" y="581025"/>
              </a:cubicBezTo>
              <a:cubicBezTo>
                <a:pt x="415669" y="571500"/>
                <a:pt x="415747" y="560290"/>
                <a:pt x="422019" y="552450"/>
              </a:cubicBezTo>
              <a:cubicBezTo>
                <a:pt x="435448" y="535664"/>
                <a:pt x="460345" y="530150"/>
                <a:pt x="479169" y="523875"/>
              </a:cubicBezTo>
              <a:cubicBezTo>
                <a:pt x="514094" y="527050"/>
                <a:pt x="553652" y="515730"/>
                <a:pt x="583944" y="533400"/>
              </a:cubicBezTo>
              <a:cubicBezTo>
                <a:pt x="600626" y="543131"/>
                <a:pt x="587362" y="572228"/>
                <a:pt x="593469" y="590550"/>
              </a:cubicBezTo>
              <a:cubicBezTo>
                <a:pt x="602540" y="617764"/>
                <a:pt x="619323" y="623661"/>
                <a:pt x="641094" y="638175"/>
              </a:cubicBezTo>
              <a:cubicBezTo>
                <a:pt x="647444" y="647700"/>
                <a:pt x="655635" y="656228"/>
                <a:pt x="660144" y="666750"/>
              </a:cubicBezTo>
              <a:cubicBezTo>
                <a:pt x="665301" y="678782"/>
                <a:pt x="659017" y="697241"/>
                <a:pt x="669669" y="704850"/>
              </a:cubicBezTo>
              <a:cubicBezTo>
                <a:pt x="685384" y="716075"/>
                <a:pt x="707769" y="711200"/>
                <a:pt x="726819" y="714375"/>
              </a:cubicBezTo>
              <a:cubicBezTo>
                <a:pt x="770488" y="779879"/>
                <a:pt x="743199" y="764285"/>
                <a:pt x="793494" y="781050"/>
              </a:cubicBezTo>
              <a:cubicBezTo>
                <a:pt x="793824" y="780968"/>
                <a:pt x="855614" y="766555"/>
                <a:pt x="860169" y="762000"/>
              </a:cubicBezTo>
              <a:cubicBezTo>
                <a:pt x="910969" y="711200"/>
                <a:pt x="822069" y="749300"/>
                <a:pt x="898269" y="723900"/>
              </a:cubicBezTo>
              <a:cubicBezTo>
                <a:pt x="941938" y="658396"/>
                <a:pt x="914649" y="673990"/>
                <a:pt x="964944" y="657225"/>
              </a:cubicBezTo>
              <a:cubicBezTo>
                <a:pt x="971294" y="647700"/>
                <a:pt x="975899" y="636745"/>
                <a:pt x="983994" y="628650"/>
              </a:cubicBezTo>
              <a:cubicBezTo>
                <a:pt x="995219" y="617425"/>
                <a:pt x="1010041" y="610406"/>
                <a:pt x="1022094" y="600075"/>
              </a:cubicBezTo>
              <a:cubicBezTo>
                <a:pt x="1032321" y="591309"/>
                <a:pt x="1041144" y="581025"/>
                <a:pt x="1050669" y="571500"/>
              </a:cubicBezTo>
              <a:lnTo>
                <a:pt x="1069719" y="514350"/>
              </a:lnTo>
              <a:cubicBezTo>
                <a:pt x="1075826" y="496028"/>
                <a:pt x="1075054" y="476053"/>
                <a:pt x="1079244" y="457200"/>
              </a:cubicBezTo>
              <a:cubicBezTo>
                <a:pt x="1081422" y="447399"/>
                <a:pt x="1085594" y="438150"/>
                <a:pt x="1088769" y="428625"/>
              </a:cubicBezTo>
              <a:cubicBezTo>
                <a:pt x="1085594" y="419100"/>
                <a:pt x="1088566" y="403779"/>
                <a:pt x="1079244" y="400050"/>
              </a:cubicBezTo>
              <a:cubicBezTo>
                <a:pt x="1067089" y="395188"/>
                <a:pt x="1054235" y="409575"/>
                <a:pt x="1041144" y="409575"/>
              </a:cubicBezTo>
              <a:cubicBezTo>
                <a:pt x="1024955" y="409575"/>
                <a:pt x="1009138" y="404310"/>
                <a:pt x="993519" y="400050"/>
              </a:cubicBezTo>
              <a:cubicBezTo>
                <a:pt x="974146" y="394766"/>
                <a:pt x="936369" y="381000"/>
                <a:pt x="936369" y="381000"/>
              </a:cubicBezTo>
              <a:cubicBezTo>
                <a:pt x="930019" y="371475"/>
                <a:pt x="924648" y="361219"/>
                <a:pt x="917319" y="352425"/>
              </a:cubicBezTo>
              <a:cubicBezTo>
                <a:pt x="908695" y="342077"/>
                <a:pt x="896216" y="335058"/>
                <a:pt x="888744" y="323850"/>
              </a:cubicBezTo>
              <a:cubicBezTo>
                <a:pt x="883175" y="315496"/>
                <a:pt x="884095" y="304052"/>
                <a:pt x="879219" y="295275"/>
              </a:cubicBezTo>
              <a:cubicBezTo>
                <a:pt x="846535" y="236444"/>
                <a:pt x="854286" y="246903"/>
                <a:pt x="812544" y="219075"/>
              </a:cubicBezTo>
              <a:cubicBezTo>
                <a:pt x="799844" y="222250"/>
                <a:pt x="784666" y="220422"/>
                <a:pt x="774444" y="228600"/>
              </a:cubicBezTo>
              <a:cubicBezTo>
                <a:pt x="766604" y="234872"/>
                <a:pt x="772019" y="250075"/>
                <a:pt x="764919" y="257175"/>
              </a:cubicBezTo>
              <a:cubicBezTo>
                <a:pt x="757819" y="264275"/>
                <a:pt x="745869" y="263525"/>
                <a:pt x="736344" y="266700"/>
              </a:cubicBezTo>
              <a:cubicBezTo>
                <a:pt x="720469" y="263525"/>
                <a:pt x="700167" y="268623"/>
                <a:pt x="688719" y="257175"/>
              </a:cubicBezTo>
              <a:lnTo>
                <a:pt x="726819" y="219075"/>
              </a:lnTo>
              <a:cubicBezTo>
                <a:pt x="736344" y="212725"/>
                <a:pt x="748243" y="208964"/>
                <a:pt x="755394" y="200025"/>
              </a:cubicBezTo>
              <a:cubicBezTo>
                <a:pt x="761666" y="192185"/>
                <a:pt x="764919" y="181490"/>
                <a:pt x="764919" y="171450"/>
              </a:cubicBezTo>
              <a:cubicBezTo>
                <a:pt x="764919" y="114212"/>
                <a:pt x="758569" y="57150"/>
                <a:pt x="755394" y="0"/>
              </a:cubicBezTo>
              <a:lnTo>
                <a:pt x="679194" y="19050"/>
              </a:lnTo>
              <a:lnTo>
                <a:pt x="641094" y="28575"/>
              </a:lnTo>
              <a:cubicBezTo>
                <a:pt x="622044" y="41275"/>
                <a:pt x="591184" y="44955"/>
                <a:pt x="583944" y="66675"/>
              </a:cubicBezTo>
              <a:cubicBezTo>
                <a:pt x="577150" y="87058"/>
                <a:pt x="572747" y="108619"/>
                <a:pt x="555369" y="123825"/>
              </a:cubicBezTo>
              <a:cubicBezTo>
                <a:pt x="538139" y="138902"/>
                <a:pt x="517269" y="149225"/>
                <a:pt x="498219" y="161925"/>
              </a:cubicBezTo>
              <a:lnTo>
                <a:pt x="469644" y="180975"/>
              </a:lnTo>
              <a:cubicBezTo>
                <a:pt x="446334" y="250904"/>
                <a:pt x="464793" y="223926"/>
                <a:pt x="422019" y="266700"/>
              </a:cubicBezTo>
              <a:cubicBezTo>
                <a:pt x="390507" y="361235"/>
                <a:pt x="443377" y="216826"/>
                <a:pt x="383919" y="323850"/>
              </a:cubicBezTo>
              <a:cubicBezTo>
                <a:pt x="374167" y="341403"/>
                <a:pt x="371219" y="361950"/>
                <a:pt x="364869" y="381000"/>
              </a:cubicBezTo>
              <a:cubicBezTo>
                <a:pt x="361249" y="391860"/>
                <a:pt x="350468" y="399114"/>
                <a:pt x="345819" y="409575"/>
              </a:cubicBezTo>
              <a:cubicBezTo>
                <a:pt x="337664" y="427925"/>
                <a:pt x="333119" y="447675"/>
                <a:pt x="326769" y="466725"/>
              </a:cubicBezTo>
              <a:lnTo>
                <a:pt x="298194" y="552450"/>
              </a:lnTo>
              <a:lnTo>
                <a:pt x="288669" y="581025"/>
              </a:lnTo>
              <a:cubicBezTo>
                <a:pt x="285159" y="605596"/>
                <a:pt x="282919" y="649676"/>
                <a:pt x="269619" y="676275"/>
              </a:cubicBezTo>
              <a:cubicBezTo>
                <a:pt x="264499" y="686514"/>
                <a:pt x="255218" y="694389"/>
                <a:pt x="250569" y="704850"/>
              </a:cubicBezTo>
              <a:cubicBezTo>
                <a:pt x="242414" y="723200"/>
                <a:pt x="237869" y="742950"/>
                <a:pt x="231519" y="762000"/>
              </a:cubicBezTo>
              <a:cubicBezTo>
                <a:pt x="228344" y="771525"/>
                <a:pt x="224429" y="780835"/>
                <a:pt x="221994" y="790575"/>
              </a:cubicBezTo>
              <a:cubicBezTo>
                <a:pt x="218819" y="803275"/>
                <a:pt x="216231" y="816136"/>
                <a:pt x="212469" y="828675"/>
              </a:cubicBezTo>
              <a:lnTo>
                <a:pt x="183894" y="914400"/>
              </a:lnTo>
              <a:lnTo>
                <a:pt x="174369" y="942975"/>
              </a:lnTo>
              <a:cubicBezTo>
                <a:pt x="171194" y="952500"/>
                <a:pt x="170413" y="963196"/>
                <a:pt x="164844" y="971550"/>
              </a:cubicBezTo>
              <a:lnTo>
                <a:pt x="126744" y="1028700"/>
              </a:lnTo>
              <a:cubicBezTo>
                <a:pt x="96555" y="1073983"/>
                <a:pt x="111314" y="1046415"/>
                <a:pt x="88644" y="1114425"/>
              </a:cubicBezTo>
              <a:cubicBezTo>
                <a:pt x="85469" y="1123950"/>
                <a:pt x="69594" y="1120775"/>
                <a:pt x="60069" y="1123950"/>
              </a:cubicBezTo>
              <a:cubicBezTo>
                <a:pt x="9269" y="1200150"/>
                <a:pt x="75944" y="1108075"/>
                <a:pt x="12444" y="1171575"/>
              </a:cubicBezTo>
              <a:cubicBezTo>
                <a:pt x="950" y="1183069"/>
                <a:pt x="-3431" y="1196975"/>
                <a:pt x="2919" y="12001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108</xdr:row>
      <xdr:rowOff>123451</xdr:rowOff>
    </xdr:from>
    <xdr:to>
      <xdr:col>15</xdr:col>
      <xdr:colOff>104775</xdr:colOff>
      <xdr:row>112</xdr:row>
      <xdr:rowOff>85725</xdr:rowOff>
    </xdr:to>
    <xdr:sp macro="" textlink="">
      <xdr:nvSpPr>
        <xdr:cNvPr id="79" name="Nova_Scotia"/>
        <xdr:cNvSpPr/>
      </xdr:nvSpPr>
      <xdr:spPr>
        <a:xfrm>
          <a:off x="8343900" y="17906626"/>
          <a:ext cx="409575" cy="609974"/>
        </a:xfrm>
        <a:custGeom>
          <a:avLst/>
          <a:gdLst>
            <a:gd name="connsiteX0" fmla="*/ 142875 w 409575"/>
            <a:gd name="connsiteY0" fmla="*/ 609974 h 609974"/>
            <a:gd name="connsiteX1" fmla="*/ 171450 w 409575"/>
            <a:gd name="connsiteY1" fmla="*/ 495674 h 609974"/>
            <a:gd name="connsiteX2" fmla="*/ 180975 w 409575"/>
            <a:gd name="connsiteY2" fmla="*/ 467099 h 609974"/>
            <a:gd name="connsiteX3" fmla="*/ 180975 w 409575"/>
            <a:gd name="connsiteY3" fmla="*/ 343274 h 609974"/>
            <a:gd name="connsiteX4" fmla="*/ 238125 w 409575"/>
            <a:gd name="connsiteY4" fmla="*/ 305174 h 609974"/>
            <a:gd name="connsiteX5" fmla="*/ 276225 w 409575"/>
            <a:gd name="connsiteY5" fmla="*/ 219449 h 609974"/>
            <a:gd name="connsiteX6" fmla="*/ 285750 w 409575"/>
            <a:gd name="connsiteY6" fmla="*/ 171824 h 609974"/>
            <a:gd name="connsiteX7" fmla="*/ 314325 w 409575"/>
            <a:gd name="connsiteY7" fmla="*/ 152774 h 609974"/>
            <a:gd name="connsiteX8" fmla="*/ 361950 w 409575"/>
            <a:gd name="connsiteY8" fmla="*/ 105149 h 609974"/>
            <a:gd name="connsiteX9" fmla="*/ 409575 w 409575"/>
            <a:gd name="connsiteY9" fmla="*/ 19424 h 609974"/>
            <a:gd name="connsiteX10" fmla="*/ 381000 w 409575"/>
            <a:gd name="connsiteY10" fmla="*/ 374 h 609974"/>
            <a:gd name="connsiteX11" fmla="*/ 295275 w 409575"/>
            <a:gd name="connsiteY11" fmla="*/ 19424 h 609974"/>
            <a:gd name="connsiteX12" fmla="*/ 238125 w 409575"/>
            <a:gd name="connsiteY12" fmla="*/ 57524 h 609974"/>
            <a:gd name="connsiteX13" fmla="*/ 209550 w 409575"/>
            <a:gd name="connsiteY13" fmla="*/ 76574 h 609974"/>
            <a:gd name="connsiteX14" fmla="*/ 152400 w 409575"/>
            <a:gd name="connsiteY14" fmla="*/ 95624 h 609974"/>
            <a:gd name="connsiteX15" fmla="*/ 123825 w 409575"/>
            <a:gd name="connsiteY15" fmla="*/ 105149 h 609974"/>
            <a:gd name="connsiteX16" fmla="*/ 95250 w 409575"/>
            <a:gd name="connsiteY16" fmla="*/ 124199 h 609974"/>
            <a:gd name="connsiteX17" fmla="*/ 66675 w 409575"/>
            <a:gd name="connsiteY17" fmla="*/ 133724 h 609974"/>
            <a:gd name="connsiteX18" fmla="*/ 38100 w 409575"/>
            <a:gd name="connsiteY18" fmla="*/ 162299 h 609974"/>
            <a:gd name="connsiteX19" fmla="*/ 47625 w 409575"/>
            <a:gd name="connsiteY19" fmla="*/ 209924 h 609974"/>
            <a:gd name="connsiteX20" fmla="*/ 76200 w 409575"/>
            <a:gd name="connsiteY20" fmla="*/ 200399 h 609974"/>
            <a:gd name="connsiteX21" fmla="*/ 142875 w 409575"/>
            <a:gd name="connsiteY21" fmla="*/ 190874 h 609974"/>
            <a:gd name="connsiteX22" fmla="*/ 161925 w 409575"/>
            <a:gd name="connsiteY22" fmla="*/ 228974 h 609974"/>
            <a:gd name="connsiteX23" fmla="*/ 104775 w 409575"/>
            <a:gd name="connsiteY23" fmla="*/ 267074 h 609974"/>
            <a:gd name="connsiteX24" fmla="*/ 76200 w 409575"/>
            <a:gd name="connsiteY24" fmla="*/ 286124 h 609974"/>
            <a:gd name="connsiteX25" fmla="*/ 66675 w 409575"/>
            <a:gd name="connsiteY25" fmla="*/ 314699 h 609974"/>
            <a:gd name="connsiteX26" fmla="*/ 47625 w 409575"/>
            <a:gd name="connsiteY26" fmla="*/ 343274 h 609974"/>
            <a:gd name="connsiteX27" fmla="*/ 28575 w 409575"/>
            <a:gd name="connsiteY27" fmla="*/ 409949 h 609974"/>
            <a:gd name="connsiteX28" fmla="*/ 0 w 409575"/>
            <a:gd name="connsiteY28" fmla="*/ 467099 h 609974"/>
            <a:gd name="connsiteX29" fmla="*/ 38100 w 409575"/>
            <a:gd name="connsiteY29" fmla="*/ 552824 h 609974"/>
            <a:gd name="connsiteX30" fmla="*/ 66675 w 409575"/>
            <a:gd name="connsiteY30" fmla="*/ 562349 h 609974"/>
            <a:gd name="connsiteX31" fmla="*/ 95250 w 409575"/>
            <a:gd name="connsiteY31" fmla="*/ 581399 h 609974"/>
            <a:gd name="connsiteX32" fmla="*/ 142875 w 409575"/>
            <a:gd name="connsiteY32" fmla="*/ 609974 h 609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409575" h="609974">
              <a:moveTo>
                <a:pt x="142875" y="609974"/>
              </a:moveTo>
              <a:cubicBezTo>
                <a:pt x="155701" y="533017"/>
                <a:pt x="146293" y="571146"/>
                <a:pt x="171450" y="495674"/>
              </a:cubicBezTo>
              <a:lnTo>
                <a:pt x="180975" y="467099"/>
              </a:lnTo>
              <a:cubicBezTo>
                <a:pt x="177051" y="439633"/>
                <a:pt x="160591" y="372394"/>
                <a:pt x="180975" y="343274"/>
              </a:cubicBezTo>
              <a:cubicBezTo>
                <a:pt x="194105" y="324517"/>
                <a:pt x="238125" y="305174"/>
                <a:pt x="238125" y="305174"/>
              </a:cubicBezTo>
              <a:cubicBezTo>
                <a:pt x="260795" y="237164"/>
                <a:pt x="246036" y="264732"/>
                <a:pt x="276225" y="219449"/>
              </a:cubicBezTo>
              <a:cubicBezTo>
                <a:pt x="279400" y="203574"/>
                <a:pt x="277718" y="185880"/>
                <a:pt x="285750" y="171824"/>
              </a:cubicBezTo>
              <a:cubicBezTo>
                <a:pt x="291430" y="161885"/>
                <a:pt x="306230" y="160869"/>
                <a:pt x="314325" y="152774"/>
              </a:cubicBezTo>
              <a:cubicBezTo>
                <a:pt x="377825" y="89274"/>
                <a:pt x="285750" y="155949"/>
                <a:pt x="361950" y="105149"/>
              </a:cubicBezTo>
              <a:cubicBezTo>
                <a:pt x="405619" y="39645"/>
                <a:pt x="392810" y="69719"/>
                <a:pt x="409575" y="19424"/>
              </a:cubicBezTo>
              <a:cubicBezTo>
                <a:pt x="400050" y="13074"/>
                <a:pt x="392378" y="1638"/>
                <a:pt x="381000" y="374"/>
              </a:cubicBezTo>
              <a:cubicBezTo>
                <a:pt x="355855" y="-2420"/>
                <a:pt x="320385" y="11054"/>
                <a:pt x="295275" y="19424"/>
              </a:cubicBezTo>
              <a:lnTo>
                <a:pt x="238125" y="57524"/>
              </a:lnTo>
              <a:cubicBezTo>
                <a:pt x="228600" y="63874"/>
                <a:pt x="220410" y="72954"/>
                <a:pt x="209550" y="76574"/>
              </a:cubicBezTo>
              <a:lnTo>
                <a:pt x="152400" y="95624"/>
              </a:lnTo>
              <a:lnTo>
                <a:pt x="123825" y="105149"/>
              </a:lnTo>
              <a:cubicBezTo>
                <a:pt x="114300" y="111499"/>
                <a:pt x="105489" y="119079"/>
                <a:pt x="95250" y="124199"/>
              </a:cubicBezTo>
              <a:cubicBezTo>
                <a:pt x="86270" y="128689"/>
                <a:pt x="75029" y="128155"/>
                <a:pt x="66675" y="133724"/>
              </a:cubicBezTo>
              <a:cubicBezTo>
                <a:pt x="55467" y="141196"/>
                <a:pt x="47625" y="152774"/>
                <a:pt x="38100" y="162299"/>
              </a:cubicBezTo>
              <a:cubicBezTo>
                <a:pt x="41275" y="178174"/>
                <a:pt x="36177" y="198476"/>
                <a:pt x="47625" y="209924"/>
              </a:cubicBezTo>
              <a:cubicBezTo>
                <a:pt x="54725" y="217024"/>
                <a:pt x="66355" y="202368"/>
                <a:pt x="76200" y="200399"/>
              </a:cubicBezTo>
              <a:cubicBezTo>
                <a:pt x="98215" y="195996"/>
                <a:pt x="120650" y="194049"/>
                <a:pt x="142875" y="190874"/>
              </a:cubicBezTo>
              <a:cubicBezTo>
                <a:pt x="161925" y="197224"/>
                <a:pt x="193675" y="197224"/>
                <a:pt x="161925" y="228974"/>
              </a:cubicBezTo>
              <a:cubicBezTo>
                <a:pt x="145736" y="245163"/>
                <a:pt x="123825" y="254374"/>
                <a:pt x="104775" y="267074"/>
              </a:cubicBezTo>
              <a:lnTo>
                <a:pt x="76200" y="286124"/>
              </a:lnTo>
              <a:cubicBezTo>
                <a:pt x="73025" y="295649"/>
                <a:pt x="71165" y="305719"/>
                <a:pt x="66675" y="314699"/>
              </a:cubicBezTo>
              <a:cubicBezTo>
                <a:pt x="61555" y="324938"/>
                <a:pt x="52134" y="332752"/>
                <a:pt x="47625" y="343274"/>
              </a:cubicBezTo>
              <a:cubicBezTo>
                <a:pt x="29314" y="386000"/>
                <a:pt x="47111" y="372878"/>
                <a:pt x="28575" y="409949"/>
              </a:cubicBezTo>
              <a:cubicBezTo>
                <a:pt x="-8354" y="483807"/>
                <a:pt x="23941" y="395275"/>
                <a:pt x="0" y="467099"/>
              </a:cubicBezTo>
              <a:cubicBezTo>
                <a:pt x="7955" y="514831"/>
                <a:pt x="-1492" y="526430"/>
                <a:pt x="38100" y="552824"/>
              </a:cubicBezTo>
              <a:cubicBezTo>
                <a:pt x="46454" y="558393"/>
                <a:pt x="57150" y="559174"/>
                <a:pt x="66675" y="562349"/>
              </a:cubicBezTo>
              <a:cubicBezTo>
                <a:pt x="76200" y="568699"/>
                <a:pt x="85011" y="576279"/>
                <a:pt x="95250" y="581399"/>
              </a:cubicBezTo>
              <a:cubicBezTo>
                <a:pt x="139030" y="603289"/>
                <a:pt x="111831" y="578930"/>
                <a:pt x="142875" y="60997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152255</xdr:colOff>
      <xdr:row>97</xdr:row>
      <xdr:rowOff>24707</xdr:rowOff>
    </xdr:from>
    <xdr:to>
      <xdr:col>16</xdr:col>
      <xdr:colOff>506557</xdr:colOff>
      <xdr:row>106</xdr:row>
      <xdr:rowOff>29307</xdr:rowOff>
    </xdr:to>
    <xdr:sp macro="" textlink="">
      <xdr:nvSpPr>
        <xdr:cNvPr id="80" name="Newfoundland_Labrador"/>
        <xdr:cNvSpPr/>
      </xdr:nvSpPr>
      <xdr:spPr>
        <a:xfrm>
          <a:off x="6972155" y="16331507"/>
          <a:ext cx="2360902" cy="1490500"/>
        </a:xfrm>
        <a:custGeom>
          <a:avLst/>
          <a:gdLst>
            <a:gd name="connsiteX0" fmla="*/ 1877 w 2364077"/>
            <a:gd name="connsiteY0" fmla="*/ 2136 h 1461925"/>
            <a:gd name="connsiteX1" fmla="*/ 20927 w 2364077"/>
            <a:gd name="connsiteY1" fmla="*/ 49761 h 1461925"/>
            <a:gd name="connsiteX2" fmla="*/ 78077 w 2364077"/>
            <a:gd name="connsiteY2" fmla="*/ 87861 h 1461925"/>
            <a:gd name="connsiteX3" fmla="*/ 106652 w 2364077"/>
            <a:gd name="connsiteY3" fmla="*/ 106911 h 1461925"/>
            <a:gd name="connsiteX4" fmla="*/ 135227 w 2364077"/>
            <a:gd name="connsiteY4" fmla="*/ 125961 h 1461925"/>
            <a:gd name="connsiteX5" fmla="*/ 163802 w 2364077"/>
            <a:gd name="connsiteY5" fmla="*/ 154536 h 1461925"/>
            <a:gd name="connsiteX6" fmla="*/ 182852 w 2364077"/>
            <a:gd name="connsiteY6" fmla="*/ 211686 h 1461925"/>
            <a:gd name="connsiteX7" fmla="*/ 201902 w 2364077"/>
            <a:gd name="connsiteY7" fmla="*/ 240261 h 1461925"/>
            <a:gd name="connsiteX8" fmla="*/ 211427 w 2364077"/>
            <a:gd name="connsiteY8" fmla="*/ 268836 h 1461925"/>
            <a:gd name="connsiteX9" fmla="*/ 297152 w 2364077"/>
            <a:gd name="connsiteY9" fmla="*/ 316461 h 1461925"/>
            <a:gd name="connsiteX10" fmla="*/ 306677 w 2364077"/>
            <a:gd name="connsiteY10" fmla="*/ 345036 h 1461925"/>
            <a:gd name="connsiteX11" fmla="*/ 363827 w 2364077"/>
            <a:gd name="connsiteY11" fmla="*/ 364086 h 1461925"/>
            <a:gd name="connsiteX12" fmla="*/ 392402 w 2364077"/>
            <a:gd name="connsiteY12" fmla="*/ 421236 h 1461925"/>
            <a:gd name="connsiteX13" fmla="*/ 411452 w 2364077"/>
            <a:gd name="connsiteY13" fmla="*/ 478386 h 1461925"/>
            <a:gd name="connsiteX14" fmla="*/ 420977 w 2364077"/>
            <a:gd name="connsiteY14" fmla="*/ 506961 h 1461925"/>
            <a:gd name="connsiteX15" fmla="*/ 478127 w 2364077"/>
            <a:gd name="connsiteY15" fmla="*/ 526011 h 1461925"/>
            <a:gd name="connsiteX16" fmla="*/ 525752 w 2364077"/>
            <a:gd name="connsiteY16" fmla="*/ 602211 h 1461925"/>
            <a:gd name="connsiteX17" fmla="*/ 544802 w 2364077"/>
            <a:gd name="connsiteY17" fmla="*/ 630786 h 1461925"/>
            <a:gd name="connsiteX18" fmla="*/ 582902 w 2364077"/>
            <a:gd name="connsiteY18" fmla="*/ 668886 h 1461925"/>
            <a:gd name="connsiteX19" fmla="*/ 573377 w 2364077"/>
            <a:gd name="connsiteY19" fmla="*/ 764136 h 1461925"/>
            <a:gd name="connsiteX20" fmla="*/ 554327 w 2364077"/>
            <a:gd name="connsiteY20" fmla="*/ 792711 h 1461925"/>
            <a:gd name="connsiteX21" fmla="*/ 487652 w 2364077"/>
            <a:gd name="connsiteY21" fmla="*/ 802236 h 1461925"/>
            <a:gd name="connsiteX22" fmla="*/ 449552 w 2364077"/>
            <a:gd name="connsiteY22" fmla="*/ 811761 h 1461925"/>
            <a:gd name="connsiteX23" fmla="*/ 420977 w 2364077"/>
            <a:gd name="connsiteY23" fmla="*/ 830811 h 1461925"/>
            <a:gd name="connsiteX24" fmla="*/ 392402 w 2364077"/>
            <a:gd name="connsiteY24" fmla="*/ 840336 h 1461925"/>
            <a:gd name="connsiteX25" fmla="*/ 373352 w 2364077"/>
            <a:gd name="connsiteY25" fmla="*/ 868911 h 1461925"/>
            <a:gd name="connsiteX26" fmla="*/ 316202 w 2364077"/>
            <a:gd name="connsiteY26" fmla="*/ 897486 h 1461925"/>
            <a:gd name="connsiteX27" fmla="*/ 287627 w 2364077"/>
            <a:gd name="connsiteY27" fmla="*/ 887961 h 1461925"/>
            <a:gd name="connsiteX28" fmla="*/ 259052 w 2364077"/>
            <a:gd name="connsiteY28" fmla="*/ 945111 h 1461925"/>
            <a:gd name="connsiteX29" fmla="*/ 268577 w 2364077"/>
            <a:gd name="connsiteY29" fmla="*/ 1040361 h 1461925"/>
            <a:gd name="connsiteX30" fmla="*/ 335252 w 2364077"/>
            <a:gd name="connsiteY30" fmla="*/ 1049886 h 1461925"/>
            <a:gd name="connsiteX31" fmla="*/ 392402 w 2364077"/>
            <a:gd name="connsiteY31" fmla="*/ 1068936 h 1461925"/>
            <a:gd name="connsiteX32" fmla="*/ 420977 w 2364077"/>
            <a:gd name="connsiteY32" fmla="*/ 1087986 h 1461925"/>
            <a:gd name="connsiteX33" fmla="*/ 459077 w 2364077"/>
            <a:gd name="connsiteY33" fmla="*/ 1126086 h 1461925"/>
            <a:gd name="connsiteX34" fmla="*/ 478127 w 2364077"/>
            <a:gd name="connsiteY34" fmla="*/ 1192761 h 1461925"/>
            <a:gd name="connsiteX35" fmla="*/ 506702 w 2364077"/>
            <a:gd name="connsiteY35" fmla="*/ 1202286 h 1461925"/>
            <a:gd name="connsiteX36" fmla="*/ 592427 w 2364077"/>
            <a:gd name="connsiteY36" fmla="*/ 1202286 h 1461925"/>
            <a:gd name="connsiteX37" fmla="*/ 601952 w 2364077"/>
            <a:gd name="connsiteY37" fmla="*/ 1240386 h 1461925"/>
            <a:gd name="connsiteX38" fmla="*/ 630527 w 2364077"/>
            <a:gd name="connsiteY38" fmla="*/ 1249911 h 1461925"/>
            <a:gd name="connsiteX39" fmla="*/ 763877 w 2364077"/>
            <a:gd name="connsiteY39" fmla="*/ 1240386 h 1461925"/>
            <a:gd name="connsiteX40" fmla="*/ 792452 w 2364077"/>
            <a:gd name="connsiteY40" fmla="*/ 1230861 h 1461925"/>
            <a:gd name="connsiteX41" fmla="*/ 801977 w 2364077"/>
            <a:gd name="connsiteY41" fmla="*/ 1202286 h 1461925"/>
            <a:gd name="connsiteX42" fmla="*/ 773402 w 2364077"/>
            <a:gd name="connsiteY42" fmla="*/ 1049886 h 1461925"/>
            <a:gd name="connsiteX43" fmla="*/ 754352 w 2364077"/>
            <a:gd name="connsiteY43" fmla="*/ 1021311 h 1461925"/>
            <a:gd name="connsiteX44" fmla="*/ 763877 w 2364077"/>
            <a:gd name="connsiteY44" fmla="*/ 983211 h 1461925"/>
            <a:gd name="connsiteX45" fmla="*/ 792452 w 2364077"/>
            <a:gd name="connsiteY45" fmla="*/ 1002261 h 1461925"/>
            <a:gd name="connsiteX46" fmla="*/ 801977 w 2364077"/>
            <a:gd name="connsiteY46" fmla="*/ 1030836 h 1461925"/>
            <a:gd name="connsiteX47" fmla="*/ 821027 w 2364077"/>
            <a:gd name="connsiteY47" fmla="*/ 1059411 h 1461925"/>
            <a:gd name="connsiteX48" fmla="*/ 830552 w 2364077"/>
            <a:gd name="connsiteY48" fmla="*/ 1087986 h 1461925"/>
            <a:gd name="connsiteX49" fmla="*/ 887702 w 2364077"/>
            <a:gd name="connsiteY49" fmla="*/ 1107036 h 1461925"/>
            <a:gd name="connsiteX50" fmla="*/ 916277 w 2364077"/>
            <a:gd name="connsiteY50" fmla="*/ 1116561 h 1461925"/>
            <a:gd name="connsiteX51" fmla="*/ 944852 w 2364077"/>
            <a:gd name="connsiteY51" fmla="*/ 1087986 h 1461925"/>
            <a:gd name="connsiteX52" fmla="*/ 954377 w 2364077"/>
            <a:gd name="connsiteY52" fmla="*/ 1059411 h 1461925"/>
            <a:gd name="connsiteX53" fmla="*/ 1011527 w 2364077"/>
            <a:gd name="connsiteY53" fmla="*/ 1021311 h 1461925"/>
            <a:gd name="connsiteX54" fmla="*/ 1040102 w 2364077"/>
            <a:gd name="connsiteY54" fmla="*/ 1002261 h 1461925"/>
            <a:gd name="connsiteX55" fmla="*/ 1135352 w 2364077"/>
            <a:gd name="connsiteY55" fmla="*/ 973686 h 1461925"/>
            <a:gd name="connsiteX56" fmla="*/ 1163927 w 2364077"/>
            <a:gd name="connsiteY56" fmla="*/ 954636 h 1461925"/>
            <a:gd name="connsiteX57" fmla="*/ 1230602 w 2364077"/>
            <a:gd name="connsiteY57" fmla="*/ 935586 h 1461925"/>
            <a:gd name="connsiteX58" fmla="*/ 1287752 w 2364077"/>
            <a:gd name="connsiteY58" fmla="*/ 916536 h 1461925"/>
            <a:gd name="connsiteX59" fmla="*/ 1316327 w 2364077"/>
            <a:gd name="connsiteY59" fmla="*/ 907011 h 1461925"/>
            <a:gd name="connsiteX60" fmla="*/ 1344902 w 2364077"/>
            <a:gd name="connsiteY60" fmla="*/ 878436 h 1461925"/>
            <a:gd name="connsiteX61" fmla="*/ 1373477 w 2364077"/>
            <a:gd name="connsiteY61" fmla="*/ 821286 h 1461925"/>
            <a:gd name="connsiteX62" fmla="*/ 1430627 w 2364077"/>
            <a:gd name="connsiteY62" fmla="*/ 792711 h 1461925"/>
            <a:gd name="connsiteX63" fmla="*/ 1459202 w 2364077"/>
            <a:gd name="connsiteY63" fmla="*/ 773661 h 1461925"/>
            <a:gd name="connsiteX64" fmla="*/ 1478252 w 2364077"/>
            <a:gd name="connsiteY64" fmla="*/ 745086 h 1461925"/>
            <a:gd name="connsiteX65" fmla="*/ 1535402 w 2364077"/>
            <a:gd name="connsiteY65" fmla="*/ 726036 h 1461925"/>
            <a:gd name="connsiteX66" fmla="*/ 1583027 w 2364077"/>
            <a:gd name="connsiteY66" fmla="*/ 811761 h 1461925"/>
            <a:gd name="connsiteX67" fmla="*/ 1602077 w 2364077"/>
            <a:gd name="connsiteY67" fmla="*/ 1078461 h 1461925"/>
            <a:gd name="connsiteX68" fmla="*/ 1611602 w 2364077"/>
            <a:gd name="connsiteY68" fmla="*/ 1107036 h 1461925"/>
            <a:gd name="connsiteX69" fmla="*/ 1630652 w 2364077"/>
            <a:gd name="connsiteY69" fmla="*/ 1135611 h 1461925"/>
            <a:gd name="connsiteX70" fmla="*/ 1649702 w 2364077"/>
            <a:gd name="connsiteY70" fmla="*/ 1297536 h 1461925"/>
            <a:gd name="connsiteX71" fmla="*/ 1659227 w 2364077"/>
            <a:gd name="connsiteY71" fmla="*/ 1326111 h 1461925"/>
            <a:gd name="connsiteX72" fmla="*/ 1678277 w 2364077"/>
            <a:gd name="connsiteY72" fmla="*/ 1354686 h 1461925"/>
            <a:gd name="connsiteX73" fmla="*/ 1687802 w 2364077"/>
            <a:gd name="connsiteY73" fmla="*/ 1411836 h 1461925"/>
            <a:gd name="connsiteX74" fmla="*/ 1697327 w 2364077"/>
            <a:gd name="connsiteY74" fmla="*/ 1459461 h 1461925"/>
            <a:gd name="connsiteX75" fmla="*/ 1735427 w 2364077"/>
            <a:gd name="connsiteY75" fmla="*/ 1449936 h 1461925"/>
            <a:gd name="connsiteX76" fmla="*/ 1764002 w 2364077"/>
            <a:gd name="connsiteY76" fmla="*/ 1430886 h 1461925"/>
            <a:gd name="connsiteX77" fmla="*/ 1783052 w 2364077"/>
            <a:gd name="connsiteY77" fmla="*/ 1402311 h 1461925"/>
            <a:gd name="connsiteX78" fmla="*/ 1840202 w 2364077"/>
            <a:gd name="connsiteY78" fmla="*/ 1383261 h 1461925"/>
            <a:gd name="connsiteX79" fmla="*/ 1916402 w 2364077"/>
            <a:gd name="connsiteY79" fmla="*/ 1316586 h 1461925"/>
            <a:gd name="connsiteX80" fmla="*/ 1944977 w 2364077"/>
            <a:gd name="connsiteY80" fmla="*/ 1297536 h 1461925"/>
            <a:gd name="connsiteX81" fmla="*/ 1973552 w 2364077"/>
            <a:gd name="connsiteY81" fmla="*/ 1278486 h 1461925"/>
            <a:gd name="connsiteX82" fmla="*/ 1992602 w 2364077"/>
            <a:gd name="connsiteY82" fmla="*/ 1249911 h 1461925"/>
            <a:gd name="connsiteX83" fmla="*/ 2059277 w 2364077"/>
            <a:gd name="connsiteY83" fmla="*/ 1221336 h 1461925"/>
            <a:gd name="connsiteX84" fmla="*/ 2087852 w 2364077"/>
            <a:gd name="connsiteY84" fmla="*/ 1211811 h 1461925"/>
            <a:gd name="connsiteX85" fmla="*/ 2097377 w 2364077"/>
            <a:gd name="connsiteY85" fmla="*/ 1183236 h 1461925"/>
            <a:gd name="connsiteX86" fmla="*/ 2106902 w 2364077"/>
            <a:gd name="connsiteY86" fmla="*/ 1211811 h 1461925"/>
            <a:gd name="connsiteX87" fmla="*/ 2116427 w 2364077"/>
            <a:gd name="connsiteY87" fmla="*/ 1326111 h 1461925"/>
            <a:gd name="connsiteX88" fmla="*/ 2125952 w 2364077"/>
            <a:gd name="connsiteY88" fmla="*/ 1297536 h 1461925"/>
            <a:gd name="connsiteX89" fmla="*/ 2173577 w 2364077"/>
            <a:gd name="connsiteY89" fmla="*/ 1211811 h 1461925"/>
            <a:gd name="connsiteX90" fmla="*/ 2164052 w 2364077"/>
            <a:gd name="connsiteY90" fmla="*/ 1116561 h 1461925"/>
            <a:gd name="connsiteX91" fmla="*/ 2202152 w 2364077"/>
            <a:gd name="connsiteY91" fmla="*/ 1126086 h 1461925"/>
            <a:gd name="connsiteX92" fmla="*/ 2297402 w 2364077"/>
            <a:gd name="connsiteY92" fmla="*/ 1135611 h 1461925"/>
            <a:gd name="connsiteX93" fmla="*/ 2306927 w 2364077"/>
            <a:gd name="connsiteY93" fmla="*/ 1173711 h 1461925"/>
            <a:gd name="connsiteX94" fmla="*/ 2364077 w 2364077"/>
            <a:gd name="connsiteY94" fmla="*/ 1135611 h 1461925"/>
            <a:gd name="connsiteX95" fmla="*/ 2335502 w 2364077"/>
            <a:gd name="connsiteY95" fmla="*/ 1040361 h 1461925"/>
            <a:gd name="connsiteX96" fmla="*/ 2325977 w 2364077"/>
            <a:gd name="connsiteY96" fmla="*/ 1011786 h 1461925"/>
            <a:gd name="connsiteX97" fmla="*/ 2268827 w 2364077"/>
            <a:gd name="connsiteY97" fmla="*/ 973686 h 1461925"/>
            <a:gd name="connsiteX98" fmla="*/ 2211677 w 2364077"/>
            <a:gd name="connsiteY98" fmla="*/ 992736 h 1461925"/>
            <a:gd name="connsiteX99" fmla="*/ 2116427 w 2364077"/>
            <a:gd name="connsiteY99" fmla="*/ 973686 h 1461925"/>
            <a:gd name="connsiteX100" fmla="*/ 2106902 w 2364077"/>
            <a:gd name="connsiteY100" fmla="*/ 897486 h 1461925"/>
            <a:gd name="connsiteX101" fmla="*/ 2078327 w 2364077"/>
            <a:gd name="connsiteY101" fmla="*/ 878436 h 1461925"/>
            <a:gd name="connsiteX102" fmla="*/ 2030702 w 2364077"/>
            <a:gd name="connsiteY102" fmla="*/ 811761 h 1461925"/>
            <a:gd name="connsiteX103" fmla="*/ 1983077 w 2364077"/>
            <a:gd name="connsiteY103" fmla="*/ 859386 h 1461925"/>
            <a:gd name="connsiteX104" fmla="*/ 1897352 w 2364077"/>
            <a:gd name="connsiteY104" fmla="*/ 935586 h 1461925"/>
            <a:gd name="connsiteX105" fmla="*/ 1868777 w 2364077"/>
            <a:gd name="connsiteY105" fmla="*/ 945111 h 1461925"/>
            <a:gd name="connsiteX106" fmla="*/ 1811627 w 2364077"/>
            <a:gd name="connsiteY106" fmla="*/ 926061 h 1461925"/>
            <a:gd name="connsiteX107" fmla="*/ 1783052 w 2364077"/>
            <a:gd name="connsiteY107" fmla="*/ 916536 h 1461925"/>
            <a:gd name="connsiteX108" fmla="*/ 1725902 w 2364077"/>
            <a:gd name="connsiteY108" fmla="*/ 926061 h 1461925"/>
            <a:gd name="connsiteX109" fmla="*/ 1706852 w 2364077"/>
            <a:gd name="connsiteY109" fmla="*/ 964161 h 1461925"/>
            <a:gd name="connsiteX110" fmla="*/ 1687802 w 2364077"/>
            <a:gd name="connsiteY110" fmla="*/ 992736 h 1461925"/>
            <a:gd name="connsiteX111" fmla="*/ 1668752 w 2364077"/>
            <a:gd name="connsiteY111" fmla="*/ 897486 h 1461925"/>
            <a:gd name="connsiteX112" fmla="*/ 1659227 w 2364077"/>
            <a:gd name="connsiteY112" fmla="*/ 859386 h 1461925"/>
            <a:gd name="connsiteX113" fmla="*/ 1640177 w 2364077"/>
            <a:gd name="connsiteY113" fmla="*/ 783186 h 1461925"/>
            <a:gd name="connsiteX114" fmla="*/ 1611602 w 2364077"/>
            <a:gd name="connsiteY114" fmla="*/ 754611 h 1461925"/>
            <a:gd name="connsiteX115" fmla="*/ 1592552 w 2364077"/>
            <a:gd name="connsiteY115" fmla="*/ 726036 h 1461925"/>
            <a:gd name="connsiteX116" fmla="*/ 1535402 w 2364077"/>
            <a:gd name="connsiteY116" fmla="*/ 697461 h 1461925"/>
            <a:gd name="connsiteX117" fmla="*/ 1516352 w 2364077"/>
            <a:gd name="connsiteY117" fmla="*/ 621261 h 1461925"/>
            <a:gd name="connsiteX118" fmla="*/ 1506827 w 2364077"/>
            <a:gd name="connsiteY118" fmla="*/ 592686 h 1461925"/>
            <a:gd name="connsiteX119" fmla="*/ 1449677 w 2364077"/>
            <a:gd name="connsiteY119" fmla="*/ 564111 h 1461925"/>
            <a:gd name="connsiteX120" fmla="*/ 1411577 w 2364077"/>
            <a:gd name="connsiteY120" fmla="*/ 526011 h 1461925"/>
            <a:gd name="connsiteX121" fmla="*/ 1363952 w 2364077"/>
            <a:gd name="connsiteY121" fmla="*/ 487911 h 1461925"/>
            <a:gd name="connsiteX122" fmla="*/ 1335377 w 2364077"/>
            <a:gd name="connsiteY122" fmla="*/ 468861 h 1461925"/>
            <a:gd name="connsiteX123" fmla="*/ 1182977 w 2364077"/>
            <a:gd name="connsiteY123" fmla="*/ 449811 h 1461925"/>
            <a:gd name="connsiteX124" fmla="*/ 1154402 w 2364077"/>
            <a:gd name="connsiteY124" fmla="*/ 440286 h 1461925"/>
            <a:gd name="connsiteX125" fmla="*/ 1125827 w 2364077"/>
            <a:gd name="connsiteY125" fmla="*/ 421236 h 1461925"/>
            <a:gd name="connsiteX126" fmla="*/ 1097252 w 2364077"/>
            <a:gd name="connsiteY126" fmla="*/ 430761 h 1461925"/>
            <a:gd name="connsiteX127" fmla="*/ 1078202 w 2364077"/>
            <a:gd name="connsiteY127" fmla="*/ 516486 h 1461925"/>
            <a:gd name="connsiteX128" fmla="*/ 1059152 w 2364077"/>
            <a:gd name="connsiteY128" fmla="*/ 583161 h 1461925"/>
            <a:gd name="connsiteX129" fmla="*/ 1021052 w 2364077"/>
            <a:gd name="connsiteY129" fmla="*/ 640311 h 1461925"/>
            <a:gd name="connsiteX130" fmla="*/ 982952 w 2364077"/>
            <a:gd name="connsiteY130" fmla="*/ 678411 h 1461925"/>
            <a:gd name="connsiteX131" fmla="*/ 1002002 w 2364077"/>
            <a:gd name="connsiteY131" fmla="*/ 535536 h 1461925"/>
            <a:gd name="connsiteX132" fmla="*/ 1021052 w 2364077"/>
            <a:gd name="connsiteY132" fmla="*/ 506961 h 1461925"/>
            <a:gd name="connsiteX133" fmla="*/ 1030577 w 2364077"/>
            <a:gd name="connsiteY133" fmla="*/ 478386 h 1461925"/>
            <a:gd name="connsiteX134" fmla="*/ 1087727 w 2364077"/>
            <a:gd name="connsiteY134" fmla="*/ 430761 h 1461925"/>
            <a:gd name="connsiteX135" fmla="*/ 1078202 w 2364077"/>
            <a:gd name="connsiteY135" fmla="*/ 364086 h 1461925"/>
            <a:gd name="connsiteX136" fmla="*/ 944852 w 2364077"/>
            <a:gd name="connsiteY136" fmla="*/ 392661 h 1461925"/>
            <a:gd name="connsiteX137" fmla="*/ 916277 w 2364077"/>
            <a:gd name="connsiteY137" fmla="*/ 402186 h 1461925"/>
            <a:gd name="connsiteX138" fmla="*/ 887702 w 2364077"/>
            <a:gd name="connsiteY138" fmla="*/ 411711 h 1461925"/>
            <a:gd name="connsiteX139" fmla="*/ 821027 w 2364077"/>
            <a:gd name="connsiteY139" fmla="*/ 402186 h 1461925"/>
            <a:gd name="connsiteX140" fmla="*/ 716252 w 2364077"/>
            <a:gd name="connsiteY140" fmla="*/ 383136 h 1461925"/>
            <a:gd name="connsiteX141" fmla="*/ 544802 w 2364077"/>
            <a:gd name="connsiteY141" fmla="*/ 383136 h 1461925"/>
            <a:gd name="connsiteX142" fmla="*/ 497177 w 2364077"/>
            <a:gd name="connsiteY142" fmla="*/ 297411 h 1461925"/>
            <a:gd name="connsiteX143" fmla="*/ 430502 w 2364077"/>
            <a:gd name="connsiteY143" fmla="*/ 211686 h 1461925"/>
            <a:gd name="connsiteX144" fmla="*/ 401927 w 2364077"/>
            <a:gd name="connsiteY144" fmla="*/ 192636 h 1461925"/>
            <a:gd name="connsiteX145" fmla="*/ 344777 w 2364077"/>
            <a:gd name="connsiteY145" fmla="*/ 173586 h 1461925"/>
            <a:gd name="connsiteX146" fmla="*/ 316202 w 2364077"/>
            <a:gd name="connsiteY146" fmla="*/ 164061 h 1461925"/>
            <a:gd name="connsiteX147" fmla="*/ 287627 w 2364077"/>
            <a:gd name="connsiteY147" fmla="*/ 154536 h 1461925"/>
            <a:gd name="connsiteX148" fmla="*/ 230477 w 2364077"/>
            <a:gd name="connsiteY148" fmla="*/ 116436 h 1461925"/>
            <a:gd name="connsiteX149" fmla="*/ 201902 w 2364077"/>
            <a:gd name="connsiteY149" fmla="*/ 97386 h 1461925"/>
            <a:gd name="connsiteX150" fmla="*/ 144752 w 2364077"/>
            <a:gd name="connsiteY150" fmla="*/ 78336 h 1461925"/>
            <a:gd name="connsiteX151" fmla="*/ 116177 w 2364077"/>
            <a:gd name="connsiteY151" fmla="*/ 68811 h 1461925"/>
            <a:gd name="connsiteX152" fmla="*/ 59027 w 2364077"/>
            <a:gd name="connsiteY152" fmla="*/ 40236 h 1461925"/>
            <a:gd name="connsiteX153" fmla="*/ 30452 w 2364077"/>
            <a:gd name="connsiteY153" fmla="*/ 21186 h 1461925"/>
            <a:gd name="connsiteX154" fmla="*/ 1877 w 2364077"/>
            <a:gd name="connsiteY154" fmla="*/ 2136 h 1461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Lst>
          <a:rect l="l" t="t" r="r" b="b"/>
          <a:pathLst>
            <a:path w="2364077" h="1461925">
              <a:moveTo>
                <a:pt x="1877" y="2136"/>
              </a:moveTo>
              <a:cubicBezTo>
                <a:pt x="290" y="6898"/>
                <a:pt x="9568" y="36982"/>
                <a:pt x="20927" y="49761"/>
              </a:cubicBezTo>
              <a:cubicBezTo>
                <a:pt x="36138" y="66873"/>
                <a:pt x="59027" y="75161"/>
                <a:pt x="78077" y="87861"/>
              </a:cubicBezTo>
              <a:lnTo>
                <a:pt x="106652" y="106911"/>
              </a:lnTo>
              <a:cubicBezTo>
                <a:pt x="116177" y="113261"/>
                <a:pt x="127132" y="117866"/>
                <a:pt x="135227" y="125961"/>
              </a:cubicBezTo>
              <a:lnTo>
                <a:pt x="163802" y="154536"/>
              </a:lnTo>
              <a:cubicBezTo>
                <a:pt x="170152" y="173586"/>
                <a:pt x="171713" y="194978"/>
                <a:pt x="182852" y="211686"/>
              </a:cubicBezTo>
              <a:cubicBezTo>
                <a:pt x="189202" y="221211"/>
                <a:pt x="196782" y="230022"/>
                <a:pt x="201902" y="240261"/>
              </a:cubicBezTo>
              <a:cubicBezTo>
                <a:pt x="206392" y="249241"/>
                <a:pt x="204327" y="261736"/>
                <a:pt x="211427" y="268836"/>
              </a:cubicBezTo>
              <a:cubicBezTo>
                <a:pt x="244179" y="301588"/>
                <a:pt x="261219" y="304483"/>
                <a:pt x="297152" y="316461"/>
              </a:cubicBezTo>
              <a:cubicBezTo>
                <a:pt x="300327" y="325986"/>
                <a:pt x="298507" y="339200"/>
                <a:pt x="306677" y="345036"/>
              </a:cubicBezTo>
              <a:cubicBezTo>
                <a:pt x="323017" y="356708"/>
                <a:pt x="363827" y="364086"/>
                <a:pt x="363827" y="364086"/>
              </a:cubicBezTo>
              <a:cubicBezTo>
                <a:pt x="398565" y="468299"/>
                <a:pt x="343163" y="310449"/>
                <a:pt x="392402" y="421236"/>
              </a:cubicBezTo>
              <a:cubicBezTo>
                <a:pt x="400557" y="439586"/>
                <a:pt x="405102" y="459336"/>
                <a:pt x="411452" y="478386"/>
              </a:cubicBezTo>
              <a:cubicBezTo>
                <a:pt x="414627" y="487911"/>
                <a:pt x="411452" y="503786"/>
                <a:pt x="420977" y="506961"/>
              </a:cubicBezTo>
              <a:lnTo>
                <a:pt x="478127" y="526011"/>
              </a:lnTo>
              <a:cubicBezTo>
                <a:pt x="500797" y="594021"/>
                <a:pt x="480469" y="572022"/>
                <a:pt x="525752" y="602211"/>
              </a:cubicBezTo>
              <a:cubicBezTo>
                <a:pt x="532102" y="611736"/>
                <a:pt x="535863" y="623635"/>
                <a:pt x="544802" y="630786"/>
              </a:cubicBezTo>
              <a:cubicBezTo>
                <a:pt x="590984" y="667731"/>
                <a:pt x="562120" y="606541"/>
                <a:pt x="582902" y="668886"/>
              </a:cubicBezTo>
              <a:cubicBezTo>
                <a:pt x="579727" y="700636"/>
                <a:pt x="580552" y="733045"/>
                <a:pt x="573377" y="764136"/>
              </a:cubicBezTo>
              <a:cubicBezTo>
                <a:pt x="570803" y="775290"/>
                <a:pt x="564788" y="788062"/>
                <a:pt x="554327" y="792711"/>
              </a:cubicBezTo>
              <a:cubicBezTo>
                <a:pt x="533811" y="801829"/>
                <a:pt x="509741" y="798220"/>
                <a:pt x="487652" y="802236"/>
              </a:cubicBezTo>
              <a:cubicBezTo>
                <a:pt x="474772" y="804578"/>
                <a:pt x="462252" y="808586"/>
                <a:pt x="449552" y="811761"/>
              </a:cubicBezTo>
              <a:cubicBezTo>
                <a:pt x="440027" y="818111"/>
                <a:pt x="431216" y="825691"/>
                <a:pt x="420977" y="830811"/>
              </a:cubicBezTo>
              <a:cubicBezTo>
                <a:pt x="411997" y="835301"/>
                <a:pt x="400242" y="834064"/>
                <a:pt x="392402" y="840336"/>
              </a:cubicBezTo>
              <a:cubicBezTo>
                <a:pt x="383463" y="847487"/>
                <a:pt x="381447" y="860816"/>
                <a:pt x="373352" y="868911"/>
              </a:cubicBezTo>
              <a:cubicBezTo>
                <a:pt x="354888" y="887375"/>
                <a:pt x="339443" y="889739"/>
                <a:pt x="316202" y="897486"/>
              </a:cubicBezTo>
              <a:cubicBezTo>
                <a:pt x="306677" y="894311"/>
                <a:pt x="296949" y="884232"/>
                <a:pt x="287627" y="887961"/>
              </a:cubicBezTo>
              <a:cubicBezTo>
                <a:pt x="273424" y="893642"/>
                <a:pt x="263062" y="933082"/>
                <a:pt x="259052" y="945111"/>
              </a:cubicBezTo>
              <a:cubicBezTo>
                <a:pt x="262227" y="976861"/>
                <a:pt x="249809" y="1014556"/>
                <a:pt x="268577" y="1040361"/>
              </a:cubicBezTo>
              <a:cubicBezTo>
                <a:pt x="281782" y="1058518"/>
                <a:pt x="313376" y="1044838"/>
                <a:pt x="335252" y="1049886"/>
              </a:cubicBezTo>
              <a:cubicBezTo>
                <a:pt x="354818" y="1054401"/>
                <a:pt x="392402" y="1068936"/>
                <a:pt x="392402" y="1068936"/>
              </a:cubicBezTo>
              <a:cubicBezTo>
                <a:pt x="401927" y="1075286"/>
                <a:pt x="413826" y="1079047"/>
                <a:pt x="420977" y="1087986"/>
              </a:cubicBezTo>
              <a:cubicBezTo>
                <a:pt x="457922" y="1134168"/>
                <a:pt x="396732" y="1105304"/>
                <a:pt x="459077" y="1126086"/>
              </a:cubicBezTo>
              <a:cubicBezTo>
                <a:pt x="459159" y="1126416"/>
                <a:pt x="473572" y="1188206"/>
                <a:pt x="478127" y="1192761"/>
              </a:cubicBezTo>
              <a:cubicBezTo>
                <a:pt x="485227" y="1199861"/>
                <a:pt x="497177" y="1199111"/>
                <a:pt x="506702" y="1202286"/>
              </a:cubicBezTo>
              <a:cubicBezTo>
                <a:pt x="535377" y="1192728"/>
                <a:pt x="560424" y="1179427"/>
                <a:pt x="592427" y="1202286"/>
              </a:cubicBezTo>
              <a:cubicBezTo>
                <a:pt x="603079" y="1209895"/>
                <a:pt x="593774" y="1230164"/>
                <a:pt x="601952" y="1240386"/>
              </a:cubicBezTo>
              <a:cubicBezTo>
                <a:pt x="608224" y="1248226"/>
                <a:pt x="621002" y="1246736"/>
                <a:pt x="630527" y="1249911"/>
              </a:cubicBezTo>
              <a:cubicBezTo>
                <a:pt x="674977" y="1246736"/>
                <a:pt x="719619" y="1245593"/>
                <a:pt x="763877" y="1240386"/>
              </a:cubicBezTo>
              <a:cubicBezTo>
                <a:pt x="773848" y="1239213"/>
                <a:pt x="785352" y="1237961"/>
                <a:pt x="792452" y="1230861"/>
              </a:cubicBezTo>
              <a:cubicBezTo>
                <a:pt x="799552" y="1223761"/>
                <a:pt x="798802" y="1211811"/>
                <a:pt x="801977" y="1202286"/>
              </a:cubicBezTo>
              <a:cubicBezTo>
                <a:pt x="790454" y="1087055"/>
                <a:pt x="802542" y="1137307"/>
                <a:pt x="773402" y="1049886"/>
              </a:cubicBezTo>
              <a:cubicBezTo>
                <a:pt x="769782" y="1039026"/>
                <a:pt x="760702" y="1030836"/>
                <a:pt x="754352" y="1021311"/>
              </a:cubicBezTo>
              <a:cubicBezTo>
                <a:pt x="757527" y="1008611"/>
                <a:pt x="752168" y="989065"/>
                <a:pt x="763877" y="983211"/>
              </a:cubicBezTo>
              <a:cubicBezTo>
                <a:pt x="774116" y="978091"/>
                <a:pt x="785301" y="993322"/>
                <a:pt x="792452" y="1002261"/>
              </a:cubicBezTo>
              <a:cubicBezTo>
                <a:pt x="798724" y="1010101"/>
                <a:pt x="797487" y="1021856"/>
                <a:pt x="801977" y="1030836"/>
              </a:cubicBezTo>
              <a:cubicBezTo>
                <a:pt x="807097" y="1041075"/>
                <a:pt x="815907" y="1049172"/>
                <a:pt x="821027" y="1059411"/>
              </a:cubicBezTo>
              <a:cubicBezTo>
                <a:pt x="825517" y="1068391"/>
                <a:pt x="822382" y="1082150"/>
                <a:pt x="830552" y="1087986"/>
              </a:cubicBezTo>
              <a:cubicBezTo>
                <a:pt x="846892" y="1099658"/>
                <a:pt x="868652" y="1100686"/>
                <a:pt x="887702" y="1107036"/>
              </a:cubicBezTo>
              <a:lnTo>
                <a:pt x="916277" y="1116561"/>
              </a:lnTo>
              <a:cubicBezTo>
                <a:pt x="925802" y="1107036"/>
                <a:pt x="937380" y="1099194"/>
                <a:pt x="944852" y="1087986"/>
              </a:cubicBezTo>
              <a:cubicBezTo>
                <a:pt x="950421" y="1079632"/>
                <a:pt x="947277" y="1066511"/>
                <a:pt x="954377" y="1059411"/>
              </a:cubicBezTo>
              <a:cubicBezTo>
                <a:pt x="970566" y="1043222"/>
                <a:pt x="992477" y="1034011"/>
                <a:pt x="1011527" y="1021311"/>
              </a:cubicBezTo>
              <a:cubicBezTo>
                <a:pt x="1021052" y="1014961"/>
                <a:pt x="1029242" y="1005881"/>
                <a:pt x="1040102" y="1002261"/>
              </a:cubicBezTo>
              <a:cubicBezTo>
                <a:pt x="1109671" y="979071"/>
                <a:pt x="1077771" y="988081"/>
                <a:pt x="1135352" y="973686"/>
              </a:cubicBezTo>
              <a:cubicBezTo>
                <a:pt x="1144877" y="967336"/>
                <a:pt x="1153688" y="959756"/>
                <a:pt x="1163927" y="954636"/>
              </a:cubicBezTo>
              <a:cubicBezTo>
                <a:pt x="1179932" y="946633"/>
                <a:pt x="1215343" y="940164"/>
                <a:pt x="1230602" y="935586"/>
              </a:cubicBezTo>
              <a:cubicBezTo>
                <a:pt x="1249836" y="929816"/>
                <a:pt x="1268702" y="922886"/>
                <a:pt x="1287752" y="916536"/>
              </a:cubicBezTo>
              <a:lnTo>
                <a:pt x="1316327" y="907011"/>
              </a:lnTo>
              <a:cubicBezTo>
                <a:pt x="1325852" y="897486"/>
                <a:pt x="1337430" y="889644"/>
                <a:pt x="1344902" y="878436"/>
              </a:cubicBezTo>
              <a:cubicBezTo>
                <a:pt x="1375890" y="831955"/>
                <a:pt x="1328514" y="866249"/>
                <a:pt x="1373477" y="821286"/>
              </a:cubicBezTo>
              <a:cubicBezTo>
                <a:pt x="1391941" y="802822"/>
                <a:pt x="1407386" y="800458"/>
                <a:pt x="1430627" y="792711"/>
              </a:cubicBezTo>
              <a:cubicBezTo>
                <a:pt x="1440152" y="786361"/>
                <a:pt x="1451107" y="781756"/>
                <a:pt x="1459202" y="773661"/>
              </a:cubicBezTo>
              <a:cubicBezTo>
                <a:pt x="1467297" y="765566"/>
                <a:pt x="1468544" y="751153"/>
                <a:pt x="1478252" y="745086"/>
              </a:cubicBezTo>
              <a:cubicBezTo>
                <a:pt x="1495280" y="734443"/>
                <a:pt x="1535402" y="726036"/>
                <a:pt x="1535402" y="726036"/>
              </a:cubicBezTo>
              <a:cubicBezTo>
                <a:pt x="1579071" y="791540"/>
                <a:pt x="1566262" y="761466"/>
                <a:pt x="1583027" y="811761"/>
              </a:cubicBezTo>
              <a:cubicBezTo>
                <a:pt x="1587585" y="916605"/>
                <a:pt x="1579473" y="988044"/>
                <a:pt x="1602077" y="1078461"/>
              </a:cubicBezTo>
              <a:cubicBezTo>
                <a:pt x="1604512" y="1088201"/>
                <a:pt x="1607112" y="1098056"/>
                <a:pt x="1611602" y="1107036"/>
              </a:cubicBezTo>
              <a:cubicBezTo>
                <a:pt x="1616722" y="1117275"/>
                <a:pt x="1624302" y="1126086"/>
                <a:pt x="1630652" y="1135611"/>
              </a:cubicBezTo>
              <a:cubicBezTo>
                <a:pt x="1637925" y="1230156"/>
                <a:pt x="1631167" y="1232662"/>
                <a:pt x="1649702" y="1297536"/>
              </a:cubicBezTo>
              <a:cubicBezTo>
                <a:pt x="1652460" y="1307190"/>
                <a:pt x="1654737" y="1317131"/>
                <a:pt x="1659227" y="1326111"/>
              </a:cubicBezTo>
              <a:cubicBezTo>
                <a:pt x="1664347" y="1336350"/>
                <a:pt x="1671927" y="1345161"/>
                <a:pt x="1678277" y="1354686"/>
              </a:cubicBezTo>
              <a:cubicBezTo>
                <a:pt x="1681452" y="1373736"/>
                <a:pt x="1684347" y="1392835"/>
                <a:pt x="1687802" y="1411836"/>
              </a:cubicBezTo>
              <a:cubicBezTo>
                <a:pt x="1690698" y="1427764"/>
                <a:pt x="1684685" y="1449348"/>
                <a:pt x="1697327" y="1459461"/>
              </a:cubicBezTo>
              <a:cubicBezTo>
                <a:pt x="1707549" y="1467639"/>
                <a:pt x="1722727" y="1453111"/>
                <a:pt x="1735427" y="1449936"/>
              </a:cubicBezTo>
              <a:cubicBezTo>
                <a:pt x="1744952" y="1443586"/>
                <a:pt x="1755907" y="1438981"/>
                <a:pt x="1764002" y="1430886"/>
              </a:cubicBezTo>
              <a:cubicBezTo>
                <a:pt x="1772097" y="1422791"/>
                <a:pt x="1773344" y="1408378"/>
                <a:pt x="1783052" y="1402311"/>
              </a:cubicBezTo>
              <a:cubicBezTo>
                <a:pt x="1800080" y="1391668"/>
                <a:pt x="1840202" y="1383261"/>
                <a:pt x="1840202" y="1383261"/>
              </a:cubicBezTo>
              <a:cubicBezTo>
                <a:pt x="1871952" y="1335636"/>
                <a:pt x="1849727" y="1361036"/>
                <a:pt x="1916402" y="1316586"/>
              </a:cubicBezTo>
              <a:lnTo>
                <a:pt x="1944977" y="1297536"/>
              </a:lnTo>
              <a:lnTo>
                <a:pt x="1973552" y="1278486"/>
              </a:lnTo>
              <a:cubicBezTo>
                <a:pt x="1979902" y="1268961"/>
                <a:pt x="1984507" y="1258006"/>
                <a:pt x="1992602" y="1249911"/>
              </a:cubicBezTo>
              <a:cubicBezTo>
                <a:pt x="2015803" y="1226710"/>
                <a:pt x="2028673" y="1230080"/>
                <a:pt x="2059277" y="1221336"/>
              </a:cubicBezTo>
              <a:cubicBezTo>
                <a:pt x="2068931" y="1218578"/>
                <a:pt x="2078327" y="1214986"/>
                <a:pt x="2087852" y="1211811"/>
              </a:cubicBezTo>
              <a:cubicBezTo>
                <a:pt x="2091027" y="1202286"/>
                <a:pt x="2087337" y="1183236"/>
                <a:pt x="2097377" y="1183236"/>
              </a:cubicBezTo>
              <a:cubicBezTo>
                <a:pt x="2107417" y="1183236"/>
                <a:pt x="2105575" y="1201859"/>
                <a:pt x="2106902" y="1211811"/>
              </a:cubicBezTo>
              <a:cubicBezTo>
                <a:pt x="2111955" y="1249708"/>
                <a:pt x="2113252" y="1288011"/>
                <a:pt x="2116427" y="1326111"/>
              </a:cubicBezTo>
              <a:cubicBezTo>
                <a:pt x="2119602" y="1316586"/>
                <a:pt x="2121076" y="1306313"/>
                <a:pt x="2125952" y="1297536"/>
              </a:cubicBezTo>
              <a:cubicBezTo>
                <a:pt x="2180539" y="1199280"/>
                <a:pt x="2152024" y="1276469"/>
                <a:pt x="2173577" y="1211811"/>
              </a:cubicBezTo>
              <a:cubicBezTo>
                <a:pt x="2170402" y="1180061"/>
                <a:pt x="2153962" y="1146832"/>
                <a:pt x="2164052" y="1116561"/>
              </a:cubicBezTo>
              <a:cubicBezTo>
                <a:pt x="2168192" y="1104142"/>
                <a:pt x="2189193" y="1124235"/>
                <a:pt x="2202152" y="1126086"/>
              </a:cubicBezTo>
              <a:cubicBezTo>
                <a:pt x="2233740" y="1130599"/>
                <a:pt x="2265652" y="1132436"/>
                <a:pt x="2297402" y="1135611"/>
              </a:cubicBezTo>
              <a:cubicBezTo>
                <a:pt x="2300577" y="1148311"/>
                <a:pt x="2296454" y="1165856"/>
                <a:pt x="2306927" y="1173711"/>
              </a:cubicBezTo>
              <a:cubicBezTo>
                <a:pt x="2322681" y="1185526"/>
                <a:pt x="2362749" y="1136939"/>
                <a:pt x="2364077" y="1135611"/>
              </a:cubicBezTo>
              <a:cubicBezTo>
                <a:pt x="2346755" y="1014355"/>
                <a:pt x="2370156" y="1109668"/>
                <a:pt x="2335502" y="1040361"/>
              </a:cubicBezTo>
              <a:cubicBezTo>
                <a:pt x="2331012" y="1031381"/>
                <a:pt x="2333077" y="1018886"/>
                <a:pt x="2325977" y="1011786"/>
              </a:cubicBezTo>
              <a:cubicBezTo>
                <a:pt x="2309788" y="995597"/>
                <a:pt x="2268827" y="973686"/>
                <a:pt x="2268827" y="973686"/>
              </a:cubicBezTo>
              <a:cubicBezTo>
                <a:pt x="2249777" y="980036"/>
                <a:pt x="2231368" y="996674"/>
                <a:pt x="2211677" y="992736"/>
              </a:cubicBezTo>
              <a:lnTo>
                <a:pt x="2116427" y="973686"/>
              </a:lnTo>
              <a:cubicBezTo>
                <a:pt x="2113252" y="948286"/>
                <a:pt x="2116409" y="921253"/>
                <a:pt x="2106902" y="897486"/>
              </a:cubicBezTo>
              <a:cubicBezTo>
                <a:pt x="2102650" y="886857"/>
                <a:pt x="2084394" y="888144"/>
                <a:pt x="2078327" y="878436"/>
              </a:cubicBezTo>
              <a:cubicBezTo>
                <a:pt x="2031538" y="803573"/>
                <a:pt x="2090609" y="831730"/>
                <a:pt x="2030702" y="811761"/>
              </a:cubicBezTo>
              <a:cubicBezTo>
                <a:pt x="1991447" y="870643"/>
                <a:pt x="2035032" y="813204"/>
                <a:pt x="1983077" y="859386"/>
              </a:cubicBezTo>
              <a:cubicBezTo>
                <a:pt x="1950620" y="888236"/>
                <a:pt x="1934411" y="917057"/>
                <a:pt x="1897352" y="935586"/>
              </a:cubicBezTo>
              <a:cubicBezTo>
                <a:pt x="1888372" y="940076"/>
                <a:pt x="1878302" y="941936"/>
                <a:pt x="1868777" y="945111"/>
              </a:cubicBezTo>
              <a:lnTo>
                <a:pt x="1811627" y="926061"/>
              </a:lnTo>
              <a:lnTo>
                <a:pt x="1783052" y="916536"/>
              </a:lnTo>
              <a:cubicBezTo>
                <a:pt x="1764002" y="919711"/>
                <a:pt x="1742279" y="915825"/>
                <a:pt x="1725902" y="926061"/>
              </a:cubicBezTo>
              <a:cubicBezTo>
                <a:pt x="1713861" y="933586"/>
                <a:pt x="1713897" y="951833"/>
                <a:pt x="1706852" y="964161"/>
              </a:cubicBezTo>
              <a:cubicBezTo>
                <a:pt x="1701172" y="974100"/>
                <a:pt x="1694152" y="983211"/>
                <a:pt x="1687802" y="992736"/>
              </a:cubicBezTo>
              <a:cubicBezTo>
                <a:pt x="1665678" y="904239"/>
                <a:pt x="1692106" y="1014257"/>
                <a:pt x="1668752" y="897486"/>
              </a:cubicBezTo>
              <a:cubicBezTo>
                <a:pt x="1666185" y="884649"/>
                <a:pt x="1662067" y="872165"/>
                <a:pt x="1659227" y="859386"/>
              </a:cubicBezTo>
              <a:cubicBezTo>
                <a:pt x="1657624" y="852173"/>
                <a:pt x="1648687" y="795951"/>
                <a:pt x="1640177" y="783186"/>
              </a:cubicBezTo>
              <a:cubicBezTo>
                <a:pt x="1632705" y="771978"/>
                <a:pt x="1620226" y="764959"/>
                <a:pt x="1611602" y="754611"/>
              </a:cubicBezTo>
              <a:cubicBezTo>
                <a:pt x="1604273" y="745817"/>
                <a:pt x="1600647" y="734131"/>
                <a:pt x="1592552" y="726036"/>
              </a:cubicBezTo>
              <a:cubicBezTo>
                <a:pt x="1574088" y="707572"/>
                <a:pt x="1558643" y="705208"/>
                <a:pt x="1535402" y="697461"/>
              </a:cubicBezTo>
              <a:cubicBezTo>
                <a:pt x="1513629" y="632142"/>
                <a:pt x="1539340" y="713213"/>
                <a:pt x="1516352" y="621261"/>
              </a:cubicBezTo>
              <a:cubicBezTo>
                <a:pt x="1513917" y="611521"/>
                <a:pt x="1513099" y="600526"/>
                <a:pt x="1506827" y="592686"/>
              </a:cubicBezTo>
              <a:cubicBezTo>
                <a:pt x="1493398" y="575900"/>
                <a:pt x="1468501" y="570386"/>
                <a:pt x="1449677" y="564111"/>
              </a:cubicBezTo>
              <a:cubicBezTo>
                <a:pt x="1428895" y="501766"/>
                <a:pt x="1457759" y="562956"/>
                <a:pt x="1411577" y="526011"/>
              </a:cubicBezTo>
              <a:cubicBezTo>
                <a:pt x="1350029" y="476772"/>
                <a:pt x="1435776" y="511852"/>
                <a:pt x="1363952" y="487911"/>
              </a:cubicBezTo>
              <a:cubicBezTo>
                <a:pt x="1354427" y="481561"/>
                <a:pt x="1343472" y="476956"/>
                <a:pt x="1335377" y="468861"/>
              </a:cubicBezTo>
              <a:cubicBezTo>
                <a:pt x="1271182" y="404666"/>
                <a:pt x="1407258" y="433791"/>
                <a:pt x="1182977" y="449811"/>
              </a:cubicBezTo>
              <a:cubicBezTo>
                <a:pt x="1173452" y="446636"/>
                <a:pt x="1163382" y="444776"/>
                <a:pt x="1154402" y="440286"/>
              </a:cubicBezTo>
              <a:cubicBezTo>
                <a:pt x="1144163" y="435166"/>
                <a:pt x="1137119" y="423118"/>
                <a:pt x="1125827" y="421236"/>
              </a:cubicBezTo>
              <a:cubicBezTo>
                <a:pt x="1115923" y="419585"/>
                <a:pt x="1106777" y="427586"/>
                <a:pt x="1097252" y="430761"/>
              </a:cubicBezTo>
              <a:cubicBezTo>
                <a:pt x="1080063" y="533898"/>
                <a:pt x="1096961" y="450831"/>
                <a:pt x="1078202" y="516486"/>
              </a:cubicBezTo>
              <a:cubicBezTo>
                <a:pt x="1075301" y="526641"/>
                <a:pt x="1065869" y="571070"/>
                <a:pt x="1059152" y="583161"/>
              </a:cubicBezTo>
              <a:cubicBezTo>
                <a:pt x="1048033" y="603175"/>
                <a:pt x="1033752" y="621261"/>
                <a:pt x="1021052" y="640311"/>
              </a:cubicBezTo>
              <a:cubicBezTo>
                <a:pt x="992023" y="683854"/>
                <a:pt x="1037381" y="660268"/>
                <a:pt x="982952" y="678411"/>
              </a:cubicBezTo>
              <a:cubicBezTo>
                <a:pt x="984190" y="666028"/>
                <a:pt x="991241" y="564232"/>
                <a:pt x="1002002" y="535536"/>
              </a:cubicBezTo>
              <a:cubicBezTo>
                <a:pt x="1006022" y="524817"/>
                <a:pt x="1015932" y="517200"/>
                <a:pt x="1021052" y="506961"/>
              </a:cubicBezTo>
              <a:cubicBezTo>
                <a:pt x="1025542" y="497981"/>
                <a:pt x="1025008" y="486740"/>
                <a:pt x="1030577" y="478386"/>
              </a:cubicBezTo>
              <a:cubicBezTo>
                <a:pt x="1045245" y="456384"/>
                <a:pt x="1066642" y="444818"/>
                <a:pt x="1087727" y="430761"/>
              </a:cubicBezTo>
              <a:cubicBezTo>
                <a:pt x="1084552" y="408536"/>
                <a:pt x="1096882" y="376539"/>
                <a:pt x="1078202" y="364086"/>
              </a:cubicBezTo>
              <a:cubicBezTo>
                <a:pt x="1058176" y="350735"/>
                <a:pt x="966589" y="385415"/>
                <a:pt x="944852" y="392661"/>
              </a:cubicBezTo>
              <a:lnTo>
                <a:pt x="916277" y="402186"/>
              </a:lnTo>
              <a:lnTo>
                <a:pt x="887702" y="411711"/>
              </a:lnTo>
              <a:lnTo>
                <a:pt x="821027" y="402186"/>
              </a:lnTo>
              <a:cubicBezTo>
                <a:pt x="731274" y="390219"/>
                <a:pt x="770519" y="401225"/>
                <a:pt x="716252" y="383136"/>
              </a:cubicBezTo>
              <a:cubicBezTo>
                <a:pt x="677149" y="387481"/>
                <a:pt x="583905" y="404191"/>
                <a:pt x="544802" y="383136"/>
              </a:cubicBezTo>
              <a:cubicBezTo>
                <a:pt x="518191" y="368807"/>
                <a:pt x="506462" y="325265"/>
                <a:pt x="497177" y="297411"/>
              </a:cubicBezTo>
              <a:cubicBezTo>
                <a:pt x="482882" y="183054"/>
                <a:pt x="514693" y="239750"/>
                <a:pt x="430502" y="211686"/>
              </a:cubicBezTo>
              <a:cubicBezTo>
                <a:pt x="419642" y="208066"/>
                <a:pt x="412388" y="197285"/>
                <a:pt x="401927" y="192636"/>
              </a:cubicBezTo>
              <a:cubicBezTo>
                <a:pt x="383577" y="184481"/>
                <a:pt x="363827" y="179936"/>
                <a:pt x="344777" y="173586"/>
              </a:cubicBezTo>
              <a:lnTo>
                <a:pt x="316202" y="164061"/>
              </a:lnTo>
              <a:lnTo>
                <a:pt x="287627" y="154536"/>
              </a:lnTo>
              <a:lnTo>
                <a:pt x="230477" y="116436"/>
              </a:lnTo>
              <a:cubicBezTo>
                <a:pt x="220952" y="110086"/>
                <a:pt x="212762" y="101006"/>
                <a:pt x="201902" y="97386"/>
              </a:cubicBezTo>
              <a:lnTo>
                <a:pt x="144752" y="78336"/>
              </a:lnTo>
              <a:lnTo>
                <a:pt x="116177" y="68811"/>
              </a:lnTo>
              <a:cubicBezTo>
                <a:pt x="34285" y="14216"/>
                <a:pt x="137897" y="79671"/>
                <a:pt x="59027" y="40236"/>
              </a:cubicBezTo>
              <a:cubicBezTo>
                <a:pt x="48788" y="35116"/>
                <a:pt x="40691" y="26306"/>
                <a:pt x="30452" y="21186"/>
              </a:cubicBezTo>
              <a:cubicBezTo>
                <a:pt x="-13328" y="-704"/>
                <a:pt x="3464" y="-2626"/>
                <a:pt x="1877" y="213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207863</xdr:colOff>
      <xdr:row>96</xdr:row>
      <xdr:rowOff>164802</xdr:rowOff>
    </xdr:from>
    <xdr:to>
      <xdr:col>14</xdr:col>
      <xdr:colOff>410594</xdr:colOff>
      <xdr:row>114</xdr:row>
      <xdr:rowOff>50800</xdr:rowOff>
    </xdr:to>
    <xdr:sp macro="" textlink="">
      <xdr:nvSpPr>
        <xdr:cNvPr id="81" name="Quebec"/>
        <xdr:cNvSpPr/>
      </xdr:nvSpPr>
      <xdr:spPr>
        <a:xfrm>
          <a:off x="5808563" y="16306502"/>
          <a:ext cx="2641131" cy="2857798"/>
        </a:xfrm>
        <a:custGeom>
          <a:avLst/>
          <a:gdLst>
            <a:gd name="connsiteX0" fmla="*/ 2640112 w 2641131"/>
            <a:gd name="connsiteY0" fmla="*/ 809923 h 2800648"/>
            <a:gd name="connsiteX1" fmla="*/ 2621062 w 2641131"/>
            <a:gd name="connsiteY1" fmla="*/ 857548 h 2800648"/>
            <a:gd name="connsiteX2" fmla="*/ 2592487 w 2641131"/>
            <a:gd name="connsiteY2" fmla="*/ 867073 h 2800648"/>
            <a:gd name="connsiteX3" fmla="*/ 2563912 w 2641131"/>
            <a:gd name="connsiteY3" fmla="*/ 924223 h 2800648"/>
            <a:gd name="connsiteX4" fmla="*/ 2544862 w 2641131"/>
            <a:gd name="connsiteY4" fmla="*/ 1105198 h 2800648"/>
            <a:gd name="connsiteX5" fmla="*/ 2535337 w 2641131"/>
            <a:gd name="connsiteY5" fmla="*/ 1143298 h 2800648"/>
            <a:gd name="connsiteX6" fmla="*/ 2506762 w 2641131"/>
            <a:gd name="connsiteY6" fmla="*/ 1152823 h 2800648"/>
            <a:gd name="connsiteX7" fmla="*/ 2459137 w 2641131"/>
            <a:gd name="connsiteY7" fmla="*/ 1190923 h 2800648"/>
            <a:gd name="connsiteX8" fmla="*/ 2440087 w 2641131"/>
            <a:gd name="connsiteY8" fmla="*/ 1219498 h 2800648"/>
            <a:gd name="connsiteX9" fmla="*/ 2411512 w 2641131"/>
            <a:gd name="connsiteY9" fmla="*/ 1238548 h 2800648"/>
            <a:gd name="connsiteX10" fmla="*/ 2354362 w 2641131"/>
            <a:gd name="connsiteY10" fmla="*/ 1286173 h 2800648"/>
            <a:gd name="connsiteX11" fmla="*/ 2335312 w 2641131"/>
            <a:gd name="connsiteY11" fmla="*/ 1314748 h 2800648"/>
            <a:gd name="connsiteX12" fmla="*/ 2306737 w 2641131"/>
            <a:gd name="connsiteY12" fmla="*/ 1324273 h 2800648"/>
            <a:gd name="connsiteX13" fmla="*/ 2249587 w 2641131"/>
            <a:gd name="connsiteY13" fmla="*/ 1362373 h 2800648"/>
            <a:gd name="connsiteX14" fmla="*/ 2192437 w 2641131"/>
            <a:gd name="connsiteY14" fmla="*/ 1381423 h 2800648"/>
            <a:gd name="connsiteX15" fmla="*/ 2135287 w 2641131"/>
            <a:gd name="connsiteY15" fmla="*/ 1419523 h 2800648"/>
            <a:gd name="connsiteX16" fmla="*/ 2087662 w 2641131"/>
            <a:gd name="connsiteY16" fmla="*/ 1457623 h 2800648"/>
            <a:gd name="connsiteX17" fmla="*/ 2040037 w 2641131"/>
            <a:gd name="connsiteY17" fmla="*/ 1505248 h 2800648"/>
            <a:gd name="connsiteX18" fmla="*/ 2011462 w 2641131"/>
            <a:gd name="connsiteY18" fmla="*/ 1524298 h 2800648"/>
            <a:gd name="connsiteX19" fmla="*/ 2001937 w 2641131"/>
            <a:gd name="connsiteY19" fmla="*/ 1552873 h 2800648"/>
            <a:gd name="connsiteX20" fmla="*/ 1944787 w 2641131"/>
            <a:gd name="connsiteY20" fmla="*/ 1581448 h 2800648"/>
            <a:gd name="connsiteX21" fmla="*/ 1935262 w 2641131"/>
            <a:gd name="connsiteY21" fmla="*/ 1610023 h 2800648"/>
            <a:gd name="connsiteX22" fmla="*/ 1906687 w 2641131"/>
            <a:gd name="connsiteY22" fmla="*/ 1667173 h 2800648"/>
            <a:gd name="connsiteX23" fmla="*/ 1897162 w 2641131"/>
            <a:gd name="connsiteY23" fmla="*/ 1743373 h 2800648"/>
            <a:gd name="connsiteX24" fmla="*/ 1887637 w 2641131"/>
            <a:gd name="connsiteY24" fmla="*/ 1771948 h 2800648"/>
            <a:gd name="connsiteX25" fmla="*/ 1859062 w 2641131"/>
            <a:gd name="connsiteY25" fmla="*/ 1790998 h 2800648"/>
            <a:gd name="connsiteX26" fmla="*/ 1830487 w 2641131"/>
            <a:gd name="connsiteY26" fmla="*/ 1876723 h 2800648"/>
            <a:gd name="connsiteX27" fmla="*/ 1811437 w 2641131"/>
            <a:gd name="connsiteY27" fmla="*/ 1905298 h 2800648"/>
            <a:gd name="connsiteX28" fmla="*/ 1792387 w 2641131"/>
            <a:gd name="connsiteY28" fmla="*/ 1962448 h 2800648"/>
            <a:gd name="connsiteX29" fmla="*/ 1782862 w 2641131"/>
            <a:gd name="connsiteY29" fmla="*/ 1991023 h 2800648"/>
            <a:gd name="connsiteX30" fmla="*/ 1773337 w 2641131"/>
            <a:gd name="connsiteY30" fmla="*/ 2152948 h 2800648"/>
            <a:gd name="connsiteX31" fmla="*/ 1763812 w 2641131"/>
            <a:gd name="connsiteY31" fmla="*/ 2181523 h 2800648"/>
            <a:gd name="connsiteX32" fmla="*/ 1754287 w 2641131"/>
            <a:gd name="connsiteY32" fmla="*/ 2238673 h 2800648"/>
            <a:gd name="connsiteX33" fmla="*/ 1735237 w 2641131"/>
            <a:gd name="connsiteY33" fmla="*/ 2295823 h 2800648"/>
            <a:gd name="connsiteX34" fmla="*/ 1716187 w 2641131"/>
            <a:gd name="connsiteY34" fmla="*/ 2352973 h 2800648"/>
            <a:gd name="connsiteX35" fmla="*/ 1697137 w 2641131"/>
            <a:gd name="connsiteY35" fmla="*/ 2410123 h 2800648"/>
            <a:gd name="connsiteX36" fmla="*/ 1687612 w 2641131"/>
            <a:gd name="connsiteY36" fmla="*/ 2438698 h 2800648"/>
            <a:gd name="connsiteX37" fmla="*/ 1668562 w 2641131"/>
            <a:gd name="connsiteY37" fmla="*/ 2505373 h 2800648"/>
            <a:gd name="connsiteX38" fmla="*/ 1649512 w 2641131"/>
            <a:gd name="connsiteY38" fmla="*/ 2533948 h 2800648"/>
            <a:gd name="connsiteX39" fmla="*/ 1639987 w 2641131"/>
            <a:gd name="connsiteY39" fmla="*/ 2562523 h 2800648"/>
            <a:gd name="connsiteX40" fmla="*/ 1620937 w 2641131"/>
            <a:gd name="connsiteY40" fmla="*/ 2591098 h 2800648"/>
            <a:gd name="connsiteX41" fmla="*/ 1611412 w 2641131"/>
            <a:gd name="connsiteY41" fmla="*/ 2619673 h 2800648"/>
            <a:gd name="connsiteX42" fmla="*/ 1573312 w 2641131"/>
            <a:gd name="connsiteY42" fmla="*/ 2676823 h 2800648"/>
            <a:gd name="connsiteX43" fmla="*/ 1535212 w 2641131"/>
            <a:gd name="connsiteY43" fmla="*/ 2733973 h 2800648"/>
            <a:gd name="connsiteX44" fmla="*/ 1487587 w 2641131"/>
            <a:gd name="connsiteY44" fmla="*/ 2743498 h 2800648"/>
            <a:gd name="connsiteX45" fmla="*/ 1459012 w 2641131"/>
            <a:gd name="connsiteY45" fmla="*/ 2753023 h 2800648"/>
            <a:gd name="connsiteX46" fmla="*/ 1430437 w 2641131"/>
            <a:gd name="connsiteY46" fmla="*/ 2781598 h 2800648"/>
            <a:gd name="connsiteX47" fmla="*/ 1335187 w 2641131"/>
            <a:gd name="connsiteY47" fmla="*/ 2800648 h 2800648"/>
            <a:gd name="connsiteX48" fmla="*/ 1097062 w 2641131"/>
            <a:gd name="connsiteY48" fmla="*/ 2791123 h 2800648"/>
            <a:gd name="connsiteX49" fmla="*/ 1011337 w 2641131"/>
            <a:gd name="connsiteY49" fmla="*/ 2781598 h 2800648"/>
            <a:gd name="connsiteX50" fmla="*/ 897037 w 2641131"/>
            <a:gd name="connsiteY50" fmla="*/ 2791123 h 2800648"/>
            <a:gd name="connsiteX51" fmla="*/ 830362 w 2641131"/>
            <a:gd name="connsiteY51" fmla="*/ 2705398 h 2800648"/>
            <a:gd name="connsiteX52" fmla="*/ 801787 w 2641131"/>
            <a:gd name="connsiteY52" fmla="*/ 2695873 h 2800648"/>
            <a:gd name="connsiteX53" fmla="*/ 754162 w 2641131"/>
            <a:gd name="connsiteY53" fmla="*/ 2619673 h 2800648"/>
            <a:gd name="connsiteX54" fmla="*/ 744637 w 2641131"/>
            <a:gd name="connsiteY54" fmla="*/ 2581573 h 2800648"/>
            <a:gd name="connsiteX55" fmla="*/ 725587 w 2641131"/>
            <a:gd name="connsiteY55" fmla="*/ 2524423 h 2800648"/>
            <a:gd name="connsiteX56" fmla="*/ 687487 w 2641131"/>
            <a:gd name="connsiteY56" fmla="*/ 2410123 h 2800648"/>
            <a:gd name="connsiteX57" fmla="*/ 677962 w 2641131"/>
            <a:gd name="connsiteY57" fmla="*/ 2372023 h 2800648"/>
            <a:gd name="connsiteX58" fmla="*/ 658912 w 2641131"/>
            <a:gd name="connsiteY58" fmla="*/ 2314873 h 2800648"/>
            <a:gd name="connsiteX59" fmla="*/ 630337 w 2641131"/>
            <a:gd name="connsiteY59" fmla="*/ 2229148 h 2800648"/>
            <a:gd name="connsiteX60" fmla="*/ 592237 w 2641131"/>
            <a:gd name="connsiteY60" fmla="*/ 2171998 h 2800648"/>
            <a:gd name="connsiteX61" fmla="*/ 563662 w 2641131"/>
            <a:gd name="connsiteY61" fmla="*/ 2067223 h 2800648"/>
            <a:gd name="connsiteX62" fmla="*/ 544612 w 2641131"/>
            <a:gd name="connsiteY62" fmla="*/ 2010073 h 2800648"/>
            <a:gd name="connsiteX63" fmla="*/ 535087 w 2641131"/>
            <a:gd name="connsiteY63" fmla="*/ 1971973 h 2800648"/>
            <a:gd name="connsiteX64" fmla="*/ 554137 w 2641131"/>
            <a:gd name="connsiteY64" fmla="*/ 1914823 h 2800648"/>
            <a:gd name="connsiteX65" fmla="*/ 563662 w 2641131"/>
            <a:gd name="connsiteY65" fmla="*/ 1800523 h 2800648"/>
            <a:gd name="connsiteX66" fmla="*/ 573187 w 2641131"/>
            <a:gd name="connsiteY66" fmla="*/ 1771948 h 2800648"/>
            <a:gd name="connsiteX67" fmla="*/ 516037 w 2641131"/>
            <a:gd name="connsiteY67" fmla="*/ 1733848 h 2800648"/>
            <a:gd name="connsiteX68" fmla="*/ 487462 w 2641131"/>
            <a:gd name="connsiteY68" fmla="*/ 1648123 h 2800648"/>
            <a:gd name="connsiteX69" fmla="*/ 468412 w 2641131"/>
            <a:gd name="connsiteY69" fmla="*/ 1571923 h 2800648"/>
            <a:gd name="connsiteX70" fmla="*/ 401737 w 2641131"/>
            <a:gd name="connsiteY70" fmla="*/ 1495723 h 2800648"/>
            <a:gd name="connsiteX71" fmla="*/ 392212 w 2641131"/>
            <a:gd name="connsiteY71" fmla="*/ 1467148 h 2800648"/>
            <a:gd name="connsiteX72" fmla="*/ 306487 w 2641131"/>
            <a:gd name="connsiteY72" fmla="*/ 1419523 h 2800648"/>
            <a:gd name="connsiteX73" fmla="*/ 392212 w 2641131"/>
            <a:gd name="connsiteY73" fmla="*/ 1362373 h 2800648"/>
            <a:gd name="connsiteX74" fmla="*/ 401737 w 2641131"/>
            <a:gd name="connsiteY74" fmla="*/ 1333798 h 2800648"/>
            <a:gd name="connsiteX75" fmla="*/ 439837 w 2641131"/>
            <a:gd name="connsiteY75" fmla="*/ 1276648 h 2800648"/>
            <a:gd name="connsiteX76" fmla="*/ 458887 w 2641131"/>
            <a:gd name="connsiteY76" fmla="*/ 1248073 h 2800648"/>
            <a:gd name="connsiteX77" fmla="*/ 468412 w 2641131"/>
            <a:gd name="connsiteY77" fmla="*/ 1181398 h 2800648"/>
            <a:gd name="connsiteX78" fmla="*/ 487462 w 2641131"/>
            <a:gd name="connsiteY78" fmla="*/ 1124248 h 2800648"/>
            <a:gd name="connsiteX79" fmla="*/ 496987 w 2641131"/>
            <a:gd name="connsiteY79" fmla="*/ 1095673 h 2800648"/>
            <a:gd name="connsiteX80" fmla="*/ 506512 w 2641131"/>
            <a:gd name="connsiteY80" fmla="*/ 1067098 h 2800648"/>
            <a:gd name="connsiteX81" fmla="*/ 516037 w 2641131"/>
            <a:gd name="connsiteY81" fmla="*/ 1038523 h 2800648"/>
            <a:gd name="connsiteX82" fmla="*/ 487462 w 2641131"/>
            <a:gd name="connsiteY82" fmla="*/ 1019473 h 2800648"/>
            <a:gd name="connsiteX83" fmla="*/ 458887 w 2641131"/>
            <a:gd name="connsiteY83" fmla="*/ 1009948 h 2800648"/>
            <a:gd name="connsiteX84" fmla="*/ 439837 w 2641131"/>
            <a:gd name="connsiteY84" fmla="*/ 952798 h 2800648"/>
            <a:gd name="connsiteX85" fmla="*/ 411262 w 2641131"/>
            <a:gd name="connsiteY85" fmla="*/ 895648 h 2800648"/>
            <a:gd name="connsiteX86" fmla="*/ 363637 w 2641131"/>
            <a:gd name="connsiteY86" fmla="*/ 838498 h 2800648"/>
            <a:gd name="connsiteX87" fmla="*/ 344587 w 2641131"/>
            <a:gd name="connsiteY87" fmla="*/ 809923 h 2800648"/>
            <a:gd name="connsiteX88" fmla="*/ 287437 w 2641131"/>
            <a:gd name="connsiteY88" fmla="*/ 771823 h 2800648"/>
            <a:gd name="connsiteX89" fmla="*/ 258862 w 2641131"/>
            <a:gd name="connsiteY89" fmla="*/ 752773 h 2800648"/>
            <a:gd name="connsiteX90" fmla="*/ 201712 w 2641131"/>
            <a:gd name="connsiteY90" fmla="*/ 733723 h 2800648"/>
            <a:gd name="connsiteX91" fmla="*/ 163612 w 2641131"/>
            <a:gd name="connsiteY91" fmla="*/ 676573 h 2800648"/>
            <a:gd name="connsiteX92" fmla="*/ 144562 w 2641131"/>
            <a:gd name="connsiteY92" fmla="*/ 647998 h 2800648"/>
            <a:gd name="connsiteX93" fmla="*/ 173137 w 2641131"/>
            <a:gd name="connsiteY93" fmla="*/ 638473 h 2800648"/>
            <a:gd name="connsiteX94" fmla="*/ 182662 w 2641131"/>
            <a:gd name="connsiteY94" fmla="*/ 495598 h 2800648"/>
            <a:gd name="connsiteX95" fmla="*/ 135037 w 2641131"/>
            <a:gd name="connsiteY95" fmla="*/ 419398 h 2800648"/>
            <a:gd name="connsiteX96" fmla="*/ 125512 w 2641131"/>
            <a:gd name="connsiteY96" fmla="*/ 390823 h 2800648"/>
            <a:gd name="connsiteX97" fmla="*/ 68362 w 2641131"/>
            <a:gd name="connsiteY97" fmla="*/ 362248 h 2800648"/>
            <a:gd name="connsiteX98" fmla="*/ 58837 w 2641131"/>
            <a:gd name="connsiteY98" fmla="*/ 257473 h 2800648"/>
            <a:gd name="connsiteX99" fmla="*/ 49312 w 2641131"/>
            <a:gd name="connsiteY99" fmla="*/ 219373 h 2800648"/>
            <a:gd name="connsiteX100" fmla="*/ 20737 w 2641131"/>
            <a:gd name="connsiteY100" fmla="*/ 190798 h 2800648"/>
            <a:gd name="connsiteX101" fmla="*/ 30262 w 2641131"/>
            <a:gd name="connsiteY101" fmla="*/ 114598 h 2800648"/>
            <a:gd name="connsiteX102" fmla="*/ 68362 w 2641131"/>
            <a:gd name="connsiteY102" fmla="*/ 133648 h 2800648"/>
            <a:gd name="connsiteX103" fmla="*/ 192187 w 2641131"/>
            <a:gd name="connsiteY103" fmla="*/ 105073 h 2800648"/>
            <a:gd name="connsiteX104" fmla="*/ 220762 w 2641131"/>
            <a:gd name="connsiteY104" fmla="*/ 95548 h 2800648"/>
            <a:gd name="connsiteX105" fmla="*/ 249337 w 2641131"/>
            <a:gd name="connsiteY105" fmla="*/ 86023 h 2800648"/>
            <a:gd name="connsiteX106" fmla="*/ 268387 w 2641131"/>
            <a:gd name="connsiteY106" fmla="*/ 57448 h 2800648"/>
            <a:gd name="connsiteX107" fmla="*/ 277912 w 2641131"/>
            <a:gd name="connsiteY107" fmla="*/ 28873 h 2800648"/>
            <a:gd name="connsiteX108" fmla="*/ 325537 w 2641131"/>
            <a:gd name="connsiteY108" fmla="*/ 19348 h 2800648"/>
            <a:gd name="connsiteX109" fmla="*/ 382687 w 2641131"/>
            <a:gd name="connsiteY109" fmla="*/ 38398 h 2800648"/>
            <a:gd name="connsiteX110" fmla="*/ 401737 w 2641131"/>
            <a:gd name="connsiteY110" fmla="*/ 66973 h 2800648"/>
            <a:gd name="connsiteX111" fmla="*/ 439837 w 2641131"/>
            <a:gd name="connsiteY111" fmla="*/ 76498 h 2800648"/>
            <a:gd name="connsiteX112" fmla="*/ 601762 w 2641131"/>
            <a:gd name="connsiteY112" fmla="*/ 95548 h 2800648"/>
            <a:gd name="connsiteX113" fmla="*/ 687487 w 2641131"/>
            <a:gd name="connsiteY113" fmla="*/ 124123 h 2800648"/>
            <a:gd name="connsiteX114" fmla="*/ 725587 w 2641131"/>
            <a:gd name="connsiteY114" fmla="*/ 133648 h 2800648"/>
            <a:gd name="connsiteX115" fmla="*/ 754162 w 2641131"/>
            <a:gd name="connsiteY115" fmla="*/ 143173 h 2800648"/>
            <a:gd name="connsiteX116" fmla="*/ 744637 w 2641131"/>
            <a:gd name="connsiteY116" fmla="*/ 200323 h 2800648"/>
            <a:gd name="connsiteX117" fmla="*/ 687487 w 2641131"/>
            <a:gd name="connsiteY117" fmla="*/ 219373 h 2800648"/>
            <a:gd name="connsiteX118" fmla="*/ 697012 w 2641131"/>
            <a:gd name="connsiteY118" fmla="*/ 257473 h 2800648"/>
            <a:gd name="connsiteX119" fmla="*/ 735112 w 2641131"/>
            <a:gd name="connsiteY119" fmla="*/ 266998 h 2800648"/>
            <a:gd name="connsiteX120" fmla="*/ 763687 w 2641131"/>
            <a:gd name="connsiteY120" fmla="*/ 276523 h 2800648"/>
            <a:gd name="connsiteX121" fmla="*/ 830362 w 2641131"/>
            <a:gd name="connsiteY121" fmla="*/ 314623 h 2800648"/>
            <a:gd name="connsiteX122" fmla="*/ 944662 w 2641131"/>
            <a:gd name="connsiteY122" fmla="*/ 324148 h 2800648"/>
            <a:gd name="connsiteX123" fmla="*/ 916087 w 2641131"/>
            <a:gd name="connsiteY123" fmla="*/ 343198 h 2800648"/>
            <a:gd name="connsiteX124" fmla="*/ 858937 w 2641131"/>
            <a:gd name="connsiteY124" fmla="*/ 371773 h 2800648"/>
            <a:gd name="connsiteX125" fmla="*/ 887512 w 2641131"/>
            <a:gd name="connsiteY125" fmla="*/ 390823 h 2800648"/>
            <a:gd name="connsiteX126" fmla="*/ 1039912 w 2641131"/>
            <a:gd name="connsiteY126" fmla="*/ 390823 h 2800648"/>
            <a:gd name="connsiteX127" fmla="*/ 1097062 w 2641131"/>
            <a:gd name="connsiteY127" fmla="*/ 371773 h 2800648"/>
            <a:gd name="connsiteX128" fmla="*/ 1125637 w 2641131"/>
            <a:gd name="connsiteY128" fmla="*/ 362248 h 2800648"/>
            <a:gd name="connsiteX129" fmla="*/ 1154212 w 2641131"/>
            <a:gd name="connsiteY129" fmla="*/ 343198 h 2800648"/>
            <a:gd name="connsiteX130" fmla="*/ 1182787 w 2641131"/>
            <a:gd name="connsiteY130" fmla="*/ 333673 h 2800648"/>
            <a:gd name="connsiteX131" fmla="*/ 1201837 w 2641131"/>
            <a:gd name="connsiteY131" fmla="*/ 305098 h 2800648"/>
            <a:gd name="connsiteX132" fmla="*/ 1182787 w 2641131"/>
            <a:gd name="connsiteY132" fmla="*/ 209848 h 2800648"/>
            <a:gd name="connsiteX133" fmla="*/ 1173262 w 2641131"/>
            <a:gd name="connsiteY133" fmla="*/ 181273 h 2800648"/>
            <a:gd name="connsiteX134" fmla="*/ 1163737 w 2641131"/>
            <a:gd name="connsiteY134" fmla="*/ 124123 h 2800648"/>
            <a:gd name="connsiteX135" fmla="*/ 1154212 w 2641131"/>
            <a:gd name="connsiteY135" fmla="*/ 95548 h 2800648"/>
            <a:gd name="connsiteX136" fmla="*/ 1125637 w 2641131"/>
            <a:gd name="connsiteY136" fmla="*/ 86023 h 2800648"/>
            <a:gd name="connsiteX137" fmla="*/ 1135162 w 2641131"/>
            <a:gd name="connsiteY137" fmla="*/ 19348 h 2800648"/>
            <a:gd name="connsiteX138" fmla="*/ 1163737 w 2641131"/>
            <a:gd name="connsiteY138" fmla="*/ 298 h 2800648"/>
            <a:gd name="connsiteX139" fmla="*/ 1182787 w 2641131"/>
            <a:gd name="connsiteY139" fmla="*/ 28873 h 2800648"/>
            <a:gd name="connsiteX140" fmla="*/ 1192312 w 2641131"/>
            <a:gd name="connsiteY140" fmla="*/ 105073 h 2800648"/>
            <a:gd name="connsiteX141" fmla="*/ 1220887 w 2641131"/>
            <a:gd name="connsiteY141" fmla="*/ 114598 h 2800648"/>
            <a:gd name="connsiteX142" fmla="*/ 1239937 w 2641131"/>
            <a:gd name="connsiteY142" fmla="*/ 143173 h 2800648"/>
            <a:gd name="connsiteX143" fmla="*/ 1297087 w 2641131"/>
            <a:gd name="connsiteY143" fmla="*/ 181273 h 2800648"/>
            <a:gd name="connsiteX144" fmla="*/ 1325662 w 2641131"/>
            <a:gd name="connsiteY144" fmla="*/ 200323 h 2800648"/>
            <a:gd name="connsiteX145" fmla="*/ 1382812 w 2641131"/>
            <a:gd name="connsiteY145" fmla="*/ 286048 h 2800648"/>
            <a:gd name="connsiteX146" fmla="*/ 1392337 w 2641131"/>
            <a:gd name="connsiteY146" fmla="*/ 314623 h 2800648"/>
            <a:gd name="connsiteX147" fmla="*/ 1449487 w 2641131"/>
            <a:gd name="connsiteY147" fmla="*/ 333673 h 2800648"/>
            <a:gd name="connsiteX148" fmla="*/ 1506637 w 2641131"/>
            <a:gd name="connsiteY148" fmla="*/ 371773 h 2800648"/>
            <a:gd name="connsiteX149" fmla="*/ 1563787 w 2641131"/>
            <a:gd name="connsiteY149" fmla="*/ 409873 h 2800648"/>
            <a:gd name="connsiteX150" fmla="*/ 1592362 w 2641131"/>
            <a:gd name="connsiteY150" fmla="*/ 467023 h 2800648"/>
            <a:gd name="connsiteX151" fmla="*/ 1611412 w 2641131"/>
            <a:gd name="connsiteY151" fmla="*/ 524173 h 2800648"/>
            <a:gd name="connsiteX152" fmla="*/ 1620937 w 2641131"/>
            <a:gd name="connsiteY152" fmla="*/ 552748 h 2800648"/>
            <a:gd name="connsiteX153" fmla="*/ 1630462 w 2641131"/>
            <a:gd name="connsiteY153" fmla="*/ 581323 h 2800648"/>
            <a:gd name="connsiteX154" fmla="*/ 1659037 w 2641131"/>
            <a:gd name="connsiteY154" fmla="*/ 590848 h 2800648"/>
            <a:gd name="connsiteX155" fmla="*/ 1706662 w 2641131"/>
            <a:gd name="connsiteY155" fmla="*/ 628948 h 2800648"/>
            <a:gd name="connsiteX156" fmla="*/ 1725712 w 2641131"/>
            <a:gd name="connsiteY156" fmla="*/ 657523 h 2800648"/>
            <a:gd name="connsiteX157" fmla="*/ 1735237 w 2641131"/>
            <a:gd name="connsiteY157" fmla="*/ 733723 h 2800648"/>
            <a:gd name="connsiteX158" fmla="*/ 1735237 w 2641131"/>
            <a:gd name="connsiteY158" fmla="*/ 790873 h 2800648"/>
            <a:gd name="connsiteX159" fmla="*/ 1611412 w 2641131"/>
            <a:gd name="connsiteY159" fmla="*/ 819448 h 2800648"/>
            <a:gd name="connsiteX160" fmla="*/ 1554262 w 2641131"/>
            <a:gd name="connsiteY160" fmla="*/ 838498 h 2800648"/>
            <a:gd name="connsiteX161" fmla="*/ 1468537 w 2641131"/>
            <a:gd name="connsiteY161" fmla="*/ 886123 h 2800648"/>
            <a:gd name="connsiteX162" fmla="*/ 1420912 w 2641131"/>
            <a:gd name="connsiteY162" fmla="*/ 962323 h 2800648"/>
            <a:gd name="connsiteX163" fmla="*/ 1411387 w 2641131"/>
            <a:gd name="connsiteY163" fmla="*/ 990898 h 2800648"/>
            <a:gd name="connsiteX164" fmla="*/ 1439962 w 2641131"/>
            <a:gd name="connsiteY164" fmla="*/ 1048048 h 2800648"/>
            <a:gd name="connsiteX165" fmla="*/ 1468537 w 2641131"/>
            <a:gd name="connsiteY165" fmla="*/ 1057573 h 2800648"/>
            <a:gd name="connsiteX166" fmla="*/ 1497112 w 2641131"/>
            <a:gd name="connsiteY166" fmla="*/ 1076623 h 2800648"/>
            <a:gd name="connsiteX167" fmla="*/ 1525687 w 2641131"/>
            <a:gd name="connsiteY167" fmla="*/ 1086148 h 2800648"/>
            <a:gd name="connsiteX168" fmla="*/ 1554262 w 2641131"/>
            <a:gd name="connsiteY168" fmla="*/ 1114723 h 2800648"/>
            <a:gd name="connsiteX169" fmla="*/ 1649512 w 2641131"/>
            <a:gd name="connsiteY169" fmla="*/ 1162348 h 2800648"/>
            <a:gd name="connsiteX170" fmla="*/ 1659037 w 2641131"/>
            <a:gd name="connsiteY170" fmla="*/ 1229023 h 2800648"/>
            <a:gd name="connsiteX171" fmla="*/ 1706662 w 2641131"/>
            <a:gd name="connsiteY171" fmla="*/ 1238548 h 2800648"/>
            <a:gd name="connsiteX172" fmla="*/ 1763812 w 2641131"/>
            <a:gd name="connsiteY172" fmla="*/ 1276648 h 2800648"/>
            <a:gd name="connsiteX173" fmla="*/ 1792387 w 2641131"/>
            <a:gd name="connsiteY173" fmla="*/ 1286173 h 2800648"/>
            <a:gd name="connsiteX174" fmla="*/ 1840012 w 2641131"/>
            <a:gd name="connsiteY174" fmla="*/ 1276648 h 2800648"/>
            <a:gd name="connsiteX175" fmla="*/ 2040037 w 2641131"/>
            <a:gd name="connsiteY175" fmla="*/ 1257598 h 2800648"/>
            <a:gd name="connsiteX176" fmla="*/ 2030512 w 2641131"/>
            <a:gd name="connsiteY176" fmla="*/ 1200448 h 2800648"/>
            <a:gd name="connsiteX177" fmla="*/ 2001937 w 2641131"/>
            <a:gd name="connsiteY177" fmla="*/ 1114723 h 2800648"/>
            <a:gd name="connsiteX178" fmla="*/ 1992412 w 2641131"/>
            <a:gd name="connsiteY178" fmla="*/ 1086148 h 2800648"/>
            <a:gd name="connsiteX179" fmla="*/ 1963837 w 2641131"/>
            <a:gd name="connsiteY179" fmla="*/ 1057573 h 2800648"/>
            <a:gd name="connsiteX180" fmla="*/ 1982887 w 2641131"/>
            <a:gd name="connsiteY180" fmla="*/ 1086148 h 2800648"/>
            <a:gd name="connsiteX181" fmla="*/ 1992412 w 2641131"/>
            <a:gd name="connsiteY181" fmla="*/ 1114723 h 2800648"/>
            <a:gd name="connsiteX182" fmla="*/ 2049562 w 2641131"/>
            <a:gd name="connsiteY182" fmla="*/ 1143298 h 2800648"/>
            <a:gd name="connsiteX183" fmla="*/ 2078137 w 2641131"/>
            <a:gd name="connsiteY183" fmla="*/ 1133773 h 2800648"/>
            <a:gd name="connsiteX184" fmla="*/ 2116237 w 2641131"/>
            <a:gd name="connsiteY184" fmla="*/ 1124248 h 2800648"/>
            <a:gd name="connsiteX185" fmla="*/ 2173387 w 2641131"/>
            <a:gd name="connsiteY185" fmla="*/ 1105198 h 2800648"/>
            <a:gd name="connsiteX186" fmla="*/ 2240062 w 2641131"/>
            <a:gd name="connsiteY186" fmla="*/ 1028998 h 2800648"/>
            <a:gd name="connsiteX187" fmla="*/ 2306737 w 2641131"/>
            <a:gd name="connsiteY187" fmla="*/ 1019473 h 2800648"/>
            <a:gd name="connsiteX188" fmla="*/ 2335312 w 2641131"/>
            <a:gd name="connsiteY188" fmla="*/ 1009948 h 2800648"/>
            <a:gd name="connsiteX189" fmla="*/ 2373412 w 2641131"/>
            <a:gd name="connsiteY189" fmla="*/ 990898 h 2800648"/>
            <a:gd name="connsiteX190" fmla="*/ 2449612 w 2641131"/>
            <a:gd name="connsiteY190" fmla="*/ 971848 h 2800648"/>
            <a:gd name="connsiteX191" fmla="*/ 2478187 w 2641131"/>
            <a:gd name="connsiteY191" fmla="*/ 962323 h 2800648"/>
            <a:gd name="connsiteX192" fmla="*/ 2544862 w 2641131"/>
            <a:gd name="connsiteY192" fmla="*/ 895648 h 2800648"/>
            <a:gd name="connsiteX193" fmla="*/ 2592487 w 2641131"/>
            <a:gd name="connsiteY193" fmla="*/ 848023 h 2800648"/>
            <a:gd name="connsiteX194" fmla="*/ 2640112 w 2641131"/>
            <a:gd name="connsiteY194" fmla="*/ 809923 h 28006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Lst>
          <a:rect l="l" t="t" r="r" b="b"/>
          <a:pathLst>
            <a:path w="2641131" h="2800648">
              <a:moveTo>
                <a:pt x="2640112" y="809923"/>
              </a:moveTo>
              <a:cubicBezTo>
                <a:pt x="2644874" y="811510"/>
                <a:pt x="2632008" y="844413"/>
                <a:pt x="2621062" y="857548"/>
              </a:cubicBezTo>
              <a:cubicBezTo>
                <a:pt x="2614634" y="865261"/>
                <a:pt x="2600327" y="860801"/>
                <a:pt x="2592487" y="867073"/>
              </a:cubicBezTo>
              <a:cubicBezTo>
                <a:pt x="2575701" y="880502"/>
                <a:pt x="2570187" y="905399"/>
                <a:pt x="2563912" y="924223"/>
              </a:cubicBezTo>
              <a:cubicBezTo>
                <a:pt x="2555880" y="1036676"/>
                <a:pt x="2562165" y="1027333"/>
                <a:pt x="2544862" y="1105198"/>
              </a:cubicBezTo>
              <a:cubicBezTo>
                <a:pt x="2542022" y="1117977"/>
                <a:pt x="2543515" y="1133076"/>
                <a:pt x="2535337" y="1143298"/>
              </a:cubicBezTo>
              <a:cubicBezTo>
                <a:pt x="2529065" y="1151138"/>
                <a:pt x="2516287" y="1149648"/>
                <a:pt x="2506762" y="1152823"/>
              </a:cubicBezTo>
              <a:cubicBezTo>
                <a:pt x="2452167" y="1234715"/>
                <a:pt x="2524862" y="1138343"/>
                <a:pt x="2459137" y="1190923"/>
              </a:cubicBezTo>
              <a:cubicBezTo>
                <a:pt x="2450198" y="1198074"/>
                <a:pt x="2448182" y="1211403"/>
                <a:pt x="2440087" y="1219498"/>
              </a:cubicBezTo>
              <a:cubicBezTo>
                <a:pt x="2431992" y="1227593"/>
                <a:pt x="2420306" y="1231219"/>
                <a:pt x="2411512" y="1238548"/>
              </a:cubicBezTo>
              <a:cubicBezTo>
                <a:pt x="2338173" y="1299664"/>
                <a:pt x="2425308" y="1238875"/>
                <a:pt x="2354362" y="1286173"/>
              </a:cubicBezTo>
              <a:cubicBezTo>
                <a:pt x="2348012" y="1295698"/>
                <a:pt x="2344251" y="1307597"/>
                <a:pt x="2335312" y="1314748"/>
              </a:cubicBezTo>
              <a:cubicBezTo>
                <a:pt x="2327472" y="1321020"/>
                <a:pt x="2315514" y="1319397"/>
                <a:pt x="2306737" y="1324273"/>
              </a:cubicBezTo>
              <a:cubicBezTo>
                <a:pt x="2286723" y="1335392"/>
                <a:pt x="2268637" y="1349673"/>
                <a:pt x="2249587" y="1362373"/>
              </a:cubicBezTo>
              <a:cubicBezTo>
                <a:pt x="2232879" y="1373512"/>
                <a:pt x="2192437" y="1381423"/>
                <a:pt x="2192437" y="1381423"/>
              </a:cubicBezTo>
              <a:lnTo>
                <a:pt x="2135287" y="1419523"/>
              </a:lnTo>
              <a:cubicBezTo>
                <a:pt x="2049119" y="1476968"/>
                <a:pt x="2181079" y="1426484"/>
                <a:pt x="2087662" y="1457623"/>
              </a:cubicBezTo>
              <a:cubicBezTo>
                <a:pt x="2011462" y="1508423"/>
                <a:pt x="2103537" y="1441748"/>
                <a:pt x="2040037" y="1505248"/>
              </a:cubicBezTo>
              <a:cubicBezTo>
                <a:pt x="2031942" y="1513343"/>
                <a:pt x="2020987" y="1517948"/>
                <a:pt x="2011462" y="1524298"/>
              </a:cubicBezTo>
              <a:cubicBezTo>
                <a:pt x="2008287" y="1533823"/>
                <a:pt x="2008209" y="1545033"/>
                <a:pt x="2001937" y="1552873"/>
              </a:cubicBezTo>
              <a:cubicBezTo>
                <a:pt x="1988508" y="1569659"/>
                <a:pt x="1963611" y="1575173"/>
                <a:pt x="1944787" y="1581448"/>
              </a:cubicBezTo>
              <a:cubicBezTo>
                <a:pt x="1941612" y="1590973"/>
                <a:pt x="1939752" y="1601043"/>
                <a:pt x="1935262" y="1610023"/>
              </a:cubicBezTo>
              <a:cubicBezTo>
                <a:pt x="1898333" y="1683881"/>
                <a:pt x="1930628" y="1595349"/>
                <a:pt x="1906687" y="1667173"/>
              </a:cubicBezTo>
              <a:cubicBezTo>
                <a:pt x="1903512" y="1692573"/>
                <a:pt x="1901741" y="1718188"/>
                <a:pt x="1897162" y="1743373"/>
              </a:cubicBezTo>
              <a:cubicBezTo>
                <a:pt x="1895366" y="1753251"/>
                <a:pt x="1893909" y="1764108"/>
                <a:pt x="1887637" y="1771948"/>
              </a:cubicBezTo>
              <a:cubicBezTo>
                <a:pt x="1880486" y="1780887"/>
                <a:pt x="1868587" y="1784648"/>
                <a:pt x="1859062" y="1790998"/>
              </a:cubicBezTo>
              <a:lnTo>
                <a:pt x="1830487" y="1876723"/>
              </a:lnTo>
              <a:cubicBezTo>
                <a:pt x="1826867" y="1887583"/>
                <a:pt x="1816086" y="1894837"/>
                <a:pt x="1811437" y="1905298"/>
              </a:cubicBezTo>
              <a:cubicBezTo>
                <a:pt x="1803282" y="1923648"/>
                <a:pt x="1798737" y="1943398"/>
                <a:pt x="1792387" y="1962448"/>
              </a:cubicBezTo>
              <a:lnTo>
                <a:pt x="1782862" y="1991023"/>
              </a:lnTo>
              <a:cubicBezTo>
                <a:pt x="1779687" y="2044998"/>
                <a:pt x="1778717" y="2099148"/>
                <a:pt x="1773337" y="2152948"/>
              </a:cubicBezTo>
              <a:cubicBezTo>
                <a:pt x="1772338" y="2162938"/>
                <a:pt x="1765990" y="2171722"/>
                <a:pt x="1763812" y="2181523"/>
              </a:cubicBezTo>
              <a:cubicBezTo>
                <a:pt x="1759622" y="2200376"/>
                <a:pt x="1758971" y="2219937"/>
                <a:pt x="1754287" y="2238673"/>
              </a:cubicBezTo>
              <a:cubicBezTo>
                <a:pt x="1749417" y="2258154"/>
                <a:pt x="1741587" y="2276773"/>
                <a:pt x="1735237" y="2295823"/>
              </a:cubicBezTo>
              <a:lnTo>
                <a:pt x="1716187" y="2352973"/>
              </a:lnTo>
              <a:lnTo>
                <a:pt x="1697137" y="2410123"/>
              </a:lnTo>
              <a:cubicBezTo>
                <a:pt x="1693962" y="2419648"/>
                <a:pt x="1690047" y="2428958"/>
                <a:pt x="1687612" y="2438698"/>
              </a:cubicBezTo>
              <a:cubicBezTo>
                <a:pt x="1684560" y="2450905"/>
                <a:pt x="1675394" y="2491708"/>
                <a:pt x="1668562" y="2505373"/>
              </a:cubicBezTo>
              <a:cubicBezTo>
                <a:pt x="1663442" y="2515612"/>
                <a:pt x="1654632" y="2523709"/>
                <a:pt x="1649512" y="2533948"/>
              </a:cubicBezTo>
              <a:cubicBezTo>
                <a:pt x="1645022" y="2542928"/>
                <a:pt x="1644477" y="2553543"/>
                <a:pt x="1639987" y="2562523"/>
              </a:cubicBezTo>
              <a:cubicBezTo>
                <a:pt x="1634867" y="2572762"/>
                <a:pt x="1626057" y="2580859"/>
                <a:pt x="1620937" y="2591098"/>
              </a:cubicBezTo>
              <a:cubicBezTo>
                <a:pt x="1616447" y="2600078"/>
                <a:pt x="1616288" y="2610896"/>
                <a:pt x="1611412" y="2619673"/>
              </a:cubicBezTo>
              <a:cubicBezTo>
                <a:pt x="1600293" y="2639687"/>
                <a:pt x="1586012" y="2657773"/>
                <a:pt x="1573312" y="2676823"/>
              </a:cubicBezTo>
              <a:lnTo>
                <a:pt x="1535212" y="2733973"/>
              </a:lnTo>
              <a:cubicBezTo>
                <a:pt x="1526232" y="2747443"/>
                <a:pt x="1503293" y="2739571"/>
                <a:pt x="1487587" y="2743498"/>
              </a:cubicBezTo>
              <a:cubicBezTo>
                <a:pt x="1477847" y="2745933"/>
                <a:pt x="1468537" y="2749848"/>
                <a:pt x="1459012" y="2753023"/>
              </a:cubicBezTo>
              <a:cubicBezTo>
                <a:pt x="1449487" y="2762548"/>
                <a:pt x="1441645" y="2774126"/>
                <a:pt x="1430437" y="2781598"/>
              </a:cubicBezTo>
              <a:cubicBezTo>
                <a:pt x="1412301" y="2793689"/>
                <a:pt x="1340834" y="2799841"/>
                <a:pt x="1335187" y="2800648"/>
              </a:cubicBezTo>
              <a:lnTo>
                <a:pt x="1097062" y="2791123"/>
              </a:lnTo>
              <a:cubicBezTo>
                <a:pt x="1068361" y="2789435"/>
                <a:pt x="1040088" y="2781598"/>
                <a:pt x="1011337" y="2781598"/>
              </a:cubicBezTo>
              <a:cubicBezTo>
                <a:pt x="973105" y="2781598"/>
                <a:pt x="935137" y="2787948"/>
                <a:pt x="897037" y="2791123"/>
              </a:cubicBezTo>
              <a:cubicBezTo>
                <a:pt x="881899" y="2768416"/>
                <a:pt x="857221" y="2723304"/>
                <a:pt x="830362" y="2705398"/>
              </a:cubicBezTo>
              <a:cubicBezTo>
                <a:pt x="822008" y="2699829"/>
                <a:pt x="811312" y="2699048"/>
                <a:pt x="801787" y="2695873"/>
              </a:cubicBezTo>
              <a:cubicBezTo>
                <a:pt x="779117" y="2627863"/>
                <a:pt x="799445" y="2649862"/>
                <a:pt x="754162" y="2619673"/>
              </a:cubicBezTo>
              <a:cubicBezTo>
                <a:pt x="750987" y="2606973"/>
                <a:pt x="748399" y="2594112"/>
                <a:pt x="744637" y="2581573"/>
              </a:cubicBezTo>
              <a:cubicBezTo>
                <a:pt x="738867" y="2562339"/>
                <a:pt x="731937" y="2543473"/>
                <a:pt x="725587" y="2524423"/>
              </a:cubicBezTo>
              <a:lnTo>
                <a:pt x="687487" y="2410123"/>
              </a:lnTo>
              <a:cubicBezTo>
                <a:pt x="683347" y="2397704"/>
                <a:pt x="681724" y="2384562"/>
                <a:pt x="677962" y="2372023"/>
              </a:cubicBezTo>
              <a:cubicBezTo>
                <a:pt x="672192" y="2352789"/>
                <a:pt x="665262" y="2333923"/>
                <a:pt x="658912" y="2314873"/>
              </a:cubicBezTo>
              <a:lnTo>
                <a:pt x="630337" y="2229148"/>
              </a:lnTo>
              <a:cubicBezTo>
                <a:pt x="623097" y="2207428"/>
                <a:pt x="604937" y="2191048"/>
                <a:pt x="592237" y="2171998"/>
              </a:cubicBezTo>
              <a:cubicBezTo>
                <a:pt x="574524" y="2145428"/>
                <a:pt x="571920" y="2097501"/>
                <a:pt x="563662" y="2067223"/>
              </a:cubicBezTo>
              <a:cubicBezTo>
                <a:pt x="558378" y="2047850"/>
                <a:pt x="549482" y="2029554"/>
                <a:pt x="544612" y="2010073"/>
              </a:cubicBezTo>
              <a:lnTo>
                <a:pt x="535087" y="1971973"/>
              </a:lnTo>
              <a:lnTo>
                <a:pt x="554137" y="1914823"/>
              </a:lnTo>
              <a:cubicBezTo>
                <a:pt x="566227" y="1878553"/>
                <a:pt x="558609" y="1838420"/>
                <a:pt x="563662" y="1800523"/>
              </a:cubicBezTo>
              <a:cubicBezTo>
                <a:pt x="564989" y="1790571"/>
                <a:pt x="570012" y="1781473"/>
                <a:pt x="573187" y="1771948"/>
              </a:cubicBezTo>
              <a:lnTo>
                <a:pt x="516037" y="1733848"/>
              </a:lnTo>
              <a:lnTo>
                <a:pt x="487462" y="1648123"/>
              </a:lnTo>
              <a:cubicBezTo>
                <a:pt x="480425" y="1627011"/>
                <a:pt x="480293" y="1593308"/>
                <a:pt x="468412" y="1571923"/>
              </a:cubicBezTo>
              <a:cubicBezTo>
                <a:pt x="435728" y="1513092"/>
                <a:pt x="443479" y="1523551"/>
                <a:pt x="401737" y="1495723"/>
              </a:cubicBezTo>
              <a:cubicBezTo>
                <a:pt x="398562" y="1486198"/>
                <a:pt x="399312" y="1474248"/>
                <a:pt x="392212" y="1467148"/>
              </a:cubicBezTo>
              <a:cubicBezTo>
                <a:pt x="359460" y="1434396"/>
                <a:pt x="342420" y="1431501"/>
                <a:pt x="306487" y="1419523"/>
              </a:cubicBezTo>
              <a:cubicBezTo>
                <a:pt x="351676" y="1401447"/>
                <a:pt x="362098" y="1404533"/>
                <a:pt x="392212" y="1362373"/>
              </a:cubicBezTo>
              <a:cubicBezTo>
                <a:pt x="398048" y="1354203"/>
                <a:pt x="396861" y="1342575"/>
                <a:pt x="401737" y="1333798"/>
              </a:cubicBezTo>
              <a:cubicBezTo>
                <a:pt x="412856" y="1313784"/>
                <a:pt x="427137" y="1295698"/>
                <a:pt x="439837" y="1276648"/>
              </a:cubicBezTo>
              <a:lnTo>
                <a:pt x="458887" y="1248073"/>
              </a:lnTo>
              <a:cubicBezTo>
                <a:pt x="462062" y="1225848"/>
                <a:pt x="463364" y="1203274"/>
                <a:pt x="468412" y="1181398"/>
              </a:cubicBezTo>
              <a:cubicBezTo>
                <a:pt x="472927" y="1161832"/>
                <a:pt x="481112" y="1143298"/>
                <a:pt x="487462" y="1124248"/>
              </a:cubicBezTo>
              <a:lnTo>
                <a:pt x="496987" y="1095673"/>
              </a:lnTo>
              <a:lnTo>
                <a:pt x="506512" y="1067098"/>
              </a:lnTo>
              <a:lnTo>
                <a:pt x="516037" y="1038523"/>
              </a:lnTo>
              <a:cubicBezTo>
                <a:pt x="506512" y="1032173"/>
                <a:pt x="497701" y="1024593"/>
                <a:pt x="487462" y="1019473"/>
              </a:cubicBezTo>
              <a:cubicBezTo>
                <a:pt x="478482" y="1014983"/>
                <a:pt x="464723" y="1018118"/>
                <a:pt x="458887" y="1009948"/>
              </a:cubicBezTo>
              <a:cubicBezTo>
                <a:pt x="447215" y="993608"/>
                <a:pt x="450976" y="969506"/>
                <a:pt x="439837" y="952798"/>
              </a:cubicBezTo>
              <a:cubicBezTo>
                <a:pt x="385242" y="870906"/>
                <a:pt x="450697" y="974518"/>
                <a:pt x="411262" y="895648"/>
              </a:cubicBezTo>
              <a:cubicBezTo>
                <a:pt x="393525" y="860175"/>
                <a:pt x="389969" y="870096"/>
                <a:pt x="363637" y="838498"/>
              </a:cubicBezTo>
              <a:cubicBezTo>
                <a:pt x="356308" y="829704"/>
                <a:pt x="353202" y="817461"/>
                <a:pt x="344587" y="809923"/>
              </a:cubicBezTo>
              <a:cubicBezTo>
                <a:pt x="327357" y="794846"/>
                <a:pt x="306487" y="784523"/>
                <a:pt x="287437" y="771823"/>
              </a:cubicBezTo>
              <a:cubicBezTo>
                <a:pt x="277912" y="765473"/>
                <a:pt x="269722" y="756393"/>
                <a:pt x="258862" y="752773"/>
              </a:cubicBezTo>
              <a:lnTo>
                <a:pt x="201712" y="733723"/>
              </a:lnTo>
              <a:lnTo>
                <a:pt x="163612" y="676573"/>
              </a:lnTo>
              <a:lnTo>
                <a:pt x="144562" y="647998"/>
              </a:lnTo>
              <a:cubicBezTo>
                <a:pt x="154087" y="644823"/>
                <a:pt x="165297" y="644745"/>
                <a:pt x="173137" y="638473"/>
              </a:cubicBezTo>
              <a:cubicBezTo>
                <a:pt x="214771" y="605166"/>
                <a:pt x="188541" y="530870"/>
                <a:pt x="182662" y="495598"/>
              </a:cubicBezTo>
              <a:cubicBezTo>
                <a:pt x="172744" y="436089"/>
                <a:pt x="173050" y="444740"/>
                <a:pt x="135037" y="419398"/>
              </a:cubicBezTo>
              <a:cubicBezTo>
                <a:pt x="131862" y="409873"/>
                <a:pt x="131784" y="398663"/>
                <a:pt x="125512" y="390823"/>
              </a:cubicBezTo>
              <a:cubicBezTo>
                <a:pt x="112083" y="374037"/>
                <a:pt x="87186" y="368523"/>
                <a:pt x="68362" y="362248"/>
              </a:cubicBezTo>
              <a:cubicBezTo>
                <a:pt x="65187" y="327323"/>
                <a:pt x="63472" y="292234"/>
                <a:pt x="58837" y="257473"/>
              </a:cubicBezTo>
              <a:cubicBezTo>
                <a:pt x="57107" y="244497"/>
                <a:pt x="55807" y="230739"/>
                <a:pt x="49312" y="219373"/>
              </a:cubicBezTo>
              <a:cubicBezTo>
                <a:pt x="42629" y="207677"/>
                <a:pt x="30262" y="200323"/>
                <a:pt x="20737" y="190798"/>
              </a:cubicBezTo>
              <a:cubicBezTo>
                <a:pt x="-1933" y="122788"/>
                <a:pt x="-15021" y="144787"/>
                <a:pt x="30262" y="114598"/>
              </a:cubicBezTo>
              <a:cubicBezTo>
                <a:pt x="42962" y="120948"/>
                <a:pt x="54221" y="132362"/>
                <a:pt x="68362" y="133648"/>
              </a:cubicBezTo>
              <a:cubicBezTo>
                <a:pt x="107223" y="137181"/>
                <a:pt x="156396" y="117003"/>
                <a:pt x="192187" y="105073"/>
              </a:cubicBezTo>
              <a:lnTo>
                <a:pt x="220762" y="95548"/>
              </a:lnTo>
              <a:lnTo>
                <a:pt x="249337" y="86023"/>
              </a:lnTo>
              <a:cubicBezTo>
                <a:pt x="255687" y="76498"/>
                <a:pt x="263267" y="67687"/>
                <a:pt x="268387" y="57448"/>
              </a:cubicBezTo>
              <a:cubicBezTo>
                <a:pt x="272877" y="48468"/>
                <a:pt x="269558" y="34442"/>
                <a:pt x="277912" y="28873"/>
              </a:cubicBezTo>
              <a:cubicBezTo>
                <a:pt x="291382" y="19893"/>
                <a:pt x="309662" y="22523"/>
                <a:pt x="325537" y="19348"/>
              </a:cubicBezTo>
              <a:cubicBezTo>
                <a:pt x="344587" y="25698"/>
                <a:pt x="371548" y="21690"/>
                <a:pt x="382687" y="38398"/>
              </a:cubicBezTo>
              <a:cubicBezTo>
                <a:pt x="389037" y="47923"/>
                <a:pt x="392212" y="60623"/>
                <a:pt x="401737" y="66973"/>
              </a:cubicBezTo>
              <a:cubicBezTo>
                <a:pt x="412629" y="74235"/>
                <a:pt x="427058" y="73658"/>
                <a:pt x="439837" y="76498"/>
              </a:cubicBezTo>
              <a:cubicBezTo>
                <a:pt x="511333" y="92386"/>
                <a:pt x="503489" y="87359"/>
                <a:pt x="601762" y="95548"/>
              </a:cubicBezTo>
              <a:lnTo>
                <a:pt x="687487" y="124123"/>
              </a:lnTo>
              <a:cubicBezTo>
                <a:pt x="699906" y="128263"/>
                <a:pt x="713000" y="130052"/>
                <a:pt x="725587" y="133648"/>
              </a:cubicBezTo>
              <a:cubicBezTo>
                <a:pt x="735241" y="136406"/>
                <a:pt x="744637" y="139998"/>
                <a:pt x="754162" y="143173"/>
              </a:cubicBezTo>
              <a:cubicBezTo>
                <a:pt x="750987" y="162223"/>
                <a:pt x="757355" y="185789"/>
                <a:pt x="744637" y="200323"/>
              </a:cubicBezTo>
              <a:cubicBezTo>
                <a:pt x="731414" y="215435"/>
                <a:pt x="687487" y="219373"/>
                <a:pt x="687487" y="219373"/>
              </a:cubicBezTo>
              <a:cubicBezTo>
                <a:pt x="690662" y="232073"/>
                <a:pt x="687755" y="248216"/>
                <a:pt x="697012" y="257473"/>
              </a:cubicBezTo>
              <a:cubicBezTo>
                <a:pt x="706269" y="266730"/>
                <a:pt x="722525" y="263402"/>
                <a:pt x="735112" y="266998"/>
              </a:cubicBezTo>
              <a:cubicBezTo>
                <a:pt x="744766" y="269756"/>
                <a:pt x="754162" y="273348"/>
                <a:pt x="763687" y="276523"/>
              </a:cubicBezTo>
              <a:cubicBezTo>
                <a:pt x="778660" y="286505"/>
                <a:pt x="813548" y="311470"/>
                <a:pt x="830362" y="314623"/>
              </a:cubicBezTo>
              <a:cubicBezTo>
                <a:pt x="867939" y="321669"/>
                <a:pt x="906562" y="320973"/>
                <a:pt x="944662" y="324148"/>
              </a:cubicBezTo>
              <a:cubicBezTo>
                <a:pt x="935137" y="330498"/>
                <a:pt x="926326" y="338078"/>
                <a:pt x="916087" y="343198"/>
              </a:cubicBezTo>
              <a:cubicBezTo>
                <a:pt x="837217" y="382633"/>
                <a:pt x="940829" y="317178"/>
                <a:pt x="858937" y="371773"/>
              </a:cubicBezTo>
              <a:cubicBezTo>
                <a:pt x="868462" y="378123"/>
                <a:pt x="876990" y="386314"/>
                <a:pt x="887512" y="390823"/>
              </a:cubicBezTo>
              <a:cubicBezTo>
                <a:pt x="936473" y="411806"/>
                <a:pt x="989169" y="395052"/>
                <a:pt x="1039912" y="390823"/>
              </a:cubicBezTo>
              <a:lnTo>
                <a:pt x="1097062" y="371773"/>
              </a:lnTo>
              <a:lnTo>
                <a:pt x="1125637" y="362248"/>
              </a:lnTo>
              <a:cubicBezTo>
                <a:pt x="1135162" y="355898"/>
                <a:pt x="1143973" y="348318"/>
                <a:pt x="1154212" y="343198"/>
              </a:cubicBezTo>
              <a:cubicBezTo>
                <a:pt x="1163192" y="338708"/>
                <a:pt x="1174947" y="339945"/>
                <a:pt x="1182787" y="333673"/>
              </a:cubicBezTo>
              <a:cubicBezTo>
                <a:pt x="1191726" y="326522"/>
                <a:pt x="1195487" y="314623"/>
                <a:pt x="1201837" y="305098"/>
              </a:cubicBezTo>
              <a:cubicBezTo>
                <a:pt x="1195487" y="273348"/>
                <a:pt x="1193026" y="240565"/>
                <a:pt x="1182787" y="209848"/>
              </a:cubicBezTo>
              <a:cubicBezTo>
                <a:pt x="1179612" y="200323"/>
                <a:pt x="1175440" y="191074"/>
                <a:pt x="1173262" y="181273"/>
              </a:cubicBezTo>
              <a:cubicBezTo>
                <a:pt x="1169072" y="162420"/>
                <a:pt x="1167927" y="142976"/>
                <a:pt x="1163737" y="124123"/>
              </a:cubicBezTo>
              <a:cubicBezTo>
                <a:pt x="1161559" y="114322"/>
                <a:pt x="1161312" y="102648"/>
                <a:pt x="1154212" y="95548"/>
              </a:cubicBezTo>
              <a:cubicBezTo>
                <a:pt x="1147112" y="88448"/>
                <a:pt x="1135162" y="89198"/>
                <a:pt x="1125637" y="86023"/>
              </a:cubicBezTo>
              <a:cubicBezTo>
                <a:pt x="1128812" y="63798"/>
                <a:pt x="1126044" y="39864"/>
                <a:pt x="1135162" y="19348"/>
              </a:cubicBezTo>
              <a:cubicBezTo>
                <a:pt x="1139811" y="8887"/>
                <a:pt x="1152512" y="-1947"/>
                <a:pt x="1163737" y="298"/>
              </a:cubicBezTo>
              <a:cubicBezTo>
                <a:pt x="1174962" y="2543"/>
                <a:pt x="1176437" y="19348"/>
                <a:pt x="1182787" y="28873"/>
              </a:cubicBezTo>
              <a:cubicBezTo>
                <a:pt x="1185962" y="54273"/>
                <a:pt x="1181916" y="81682"/>
                <a:pt x="1192312" y="105073"/>
              </a:cubicBezTo>
              <a:cubicBezTo>
                <a:pt x="1196390" y="114248"/>
                <a:pt x="1213047" y="108326"/>
                <a:pt x="1220887" y="114598"/>
              </a:cubicBezTo>
              <a:cubicBezTo>
                <a:pt x="1229826" y="121749"/>
                <a:pt x="1231322" y="135635"/>
                <a:pt x="1239937" y="143173"/>
              </a:cubicBezTo>
              <a:cubicBezTo>
                <a:pt x="1257167" y="158250"/>
                <a:pt x="1278037" y="168573"/>
                <a:pt x="1297087" y="181273"/>
              </a:cubicBezTo>
              <a:lnTo>
                <a:pt x="1325662" y="200323"/>
              </a:lnTo>
              <a:lnTo>
                <a:pt x="1382812" y="286048"/>
              </a:lnTo>
              <a:cubicBezTo>
                <a:pt x="1388381" y="294402"/>
                <a:pt x="1384167" y="308787"/>
                <a:pt x="1392337" y="314623"/>
              </a:cubicBezTo>
              <a:cubicBezTo>
                <a:pt x="1408677" y="326295"/>
                <a:pt x="1449487" y="333673"/>
                <a:pt x="1449487" y="333673"/>
              </a:cubicBezTo>
              <a:lnTo>
                <a:pt x="1506637" y="371773"/>
              </a:lnTo>
              <a:cubicBezTo>
                <a:pt x="1577986" y="419339"/>
                <a:pt x="1495843" y="387225"/>
                <a:pt x="1563787" y="409873"/>
              </a:cubicBezTo>
              <a:cubicBezTo>
                <a:pt x="1598525" y="514086"/>
                <a:pt x="1543123" y="356236"/>
                <a:pt x="1592362" y="467023"/>
              </a:cubicBezTo>
              <a:cubicBezTo>
                <a:pt x="1600517" y="485373"/>
                <a:pt x="1605062" y="505123"/>
                <a:pt x="1611412" y="524173"/>
              </a:cubicBezTo>
              <a:lnTo>
                <a:pt x="1620937" y="552748"/>
              </a:lnTo>
              <a:cubicBezTo>
                <a:pt x="1624112" y="562273"/>
                <a:pt x="1620937" y="578148"/>
                <a:pt x="1630462" y="581323"/>
              </a:cubicBezTo>
              <a:lnTo>
                <a:pt x="1659037" y="590848"/>
              </a:lnTo>
              <a:cubicBezTo>
                <a:pt x="1713632" y="672740"/>
                <a:pt x="1640937" y="576368"/>
                <a:pt x="1706662" y="628948"/>
              </a:cubicBezTo>
              <a:cubicBezTo>
                <a:pt x="1715601" y="636099"/>
                <a:pt x="1719362" y="647998"/>
                <a:pt x="1725712" y="657523"/>
              </a:cubicBezTo>
              <a:cubicBezTo>
                <a:pt x="1728887" y="682923"/>
                <a:pt x="1730658" y="708538"/>
                <a:pt x="1735237" y="733723"/>
              </a:cubicBezTo>
              <a:cubicBezTo>
                <a:pt x="1737567" y="746540"/>
                <a:pt x="1758307" y="778056"/>
                <a:pt x="1735237" y="790873"/>
              </a:cubicBezTo>
              <a:cubicBezTo>
                <a:pt x="1712141" y="803704"/>
                <a:pt x="1642162" y="811062"/>
                <a:pt x="1611412" y="819448"/>
              </a:cubicBezTo>
              <a:cubicBezTo>
                <a:pt x="1592039" y="824732"/>
                <a:pt x="1554262" y="838498"/>
                <a:pt x="1554262" y="838498"/>
              </a:cubicBezTo>
              <a:cubicBezTo>
                <a:pt x="1488758" y="882167"/>
                <a:pt x="1518832" y="869358"/>
                <a:pt x="1468537" y="886123"/>
              </a:cubicBezTo>
              <a:cubicBezTo>
                <a:pt x="1423254" y="916312"/>
                <a:pt x="1443582" y="894313"/>
                <a:pt x="1420912" y="962323"/>
              </a:cubicBezTo>
              <a:lnTo>
                <a:pt x="1411387" y="990898"/>
              </a:lnTo>
              <a:cubicBezTo>
                <a:pt x="1417662" y="1009722"/>
                <a:pt x="1423176" y="1034619"/>
                <a:pt x="1439962" y="1048048"/>
              </a:cubicBezTo>
              <a:cubicBezTo>
                <a:pt x="1447802" y="1054320"/>
                <a:pt x="1459012" y="1054398"/>
                <a:pt x="1468537" y="1057573"/>
              </a:cubicBezTo>
              <a:cubicBezTo>
                <a:pt x="1478062" y="1063923"/>
                <a:pt x="1486873" y="1071503"/>
                <a:pt x="1497112" y="1076623"/>
              </a:cubicBezTo>
              <a:cubicBezTo>
                <a:pt x="1506092" y="1081113"/>
                <a:pt x="1517333" y="1080579"/>
                <a:pt x="1525687" y="1086148"/>
              </a:cubicBezTo>
              <a:cubicBezTo>
                <a:pt x="1536895" y="1093620"/>
                <a:pt x="1543629" y="1106453"/>
                <a:pt x="1554262" y="1114723"/>
              </a:cubicBezTo>
              <a:cubicBezTo>
                <a:pt x="1607980" y="1156503"/>
                <a:pt x="1597391" y="1149318"/>
                <a:pt x="1649512" y="1162348"/>
              </a:cubicBezTo>
              <a:cubicBezTo>
                <a:pt x="1652687" y="1184573"/>
                <a:pt x="1645567" y="1211062"/>
                <a:pt x="1659037" y="1229023"/>
              </a:cubicBezTo>
              <a:cubicBezTo>
                <a:pt x="1668751" y="1241975"/>
                <a:pt x="1691924" y="1231849"/>
                <a:pt x="1706662" y="1238548"/>
              </a:cubicBezTo>
              <a:cubicBezTo>
                <a:pt x="1727505" y="1248022"/>
                <a:pt x="1742092" y="1269408"/>
                <a:pt x="1763812" y="1276648"/>
              </a:cubicBezTo>
              <a:lnTo>
                <a:pt x="1792387" y="1286173"/>
              </a:lnTo>
              <a:cubicBezTo>
                <a:pt x="1808262" y="1282998"/>
                <a:pt x="1823883" y="1278050"/>
                <a:pt x="1840012" y="1276648"/>
              </a:cubicBezTo>
              <a:lnTo>
                <a:pt x="2040037" y="1257598"/>
              </a:lnTo>
              <a:cubicBezTo>
                <a:pt x="2036862" y="1238548"/>
                <a:pt x="2035196" y="1219184"/>
                <a:pt x="2030512" y="1200448"/>
              </a:cubicBezTo>
              <a:lnTo>
                <a:pt x="2001937" y="1114723"/>
              </a:lnTo>
              <a:cubicBezTo>
                <a:pt x="1998762" y="1105198"/>
                <a:pt x="1999512" y="1093248"/>
                <a:pt x="1992412" y="1086148"/>
              </a:cubicBezTo>
              <a:cubicBezTo>
                <a:pt x="1982887" y="1076623"/>
                <a:pt x="1977307" y="1057573"/>
                <a:pt x="1963837" y="1057573"/>
              </a:cubicBezTo>
              <a:cubicBezTo>
                <a:pt x="1952389" y="1057573"/>
                <a:pt x="1977767" y="1075909"/>
                <a:pt x="1982887" y="1086148"/>
              </a:cubicBezTo>
              <a:cubicBezTo>
                <a:pt x="1987377" y="1095128"/>
                <a:pt x="1986140" y="1106883"/>
                <a:pt x="1992412" y="1114723"/>
              </a:cubicBezTo>
              <a:cubicBezTo>
                <a:pt x="2005841" y="1131509"/>
                <a:pt x="2030738" y="1137023"/>
                <a:pt x="2049562" y="1143298"/>
              </a:cubicBezTo>
              <a:cubicBezTo>
                <a:pt x="2059087" y="1140123"/>
                <a:pt x="2068483" y="1136531"/>
                <a:pt x="2078137" y="1133773"/>
              </a:cubicBezTo>
              <a:cubicBezTo>
                <a:pt x="2090724" y="1130177"/>
                <a:pt x="2103698" y="1128010"/>
                <a:pt x="2116237" y="1124248"/>
              </a:cubicBezTo>
              <a:cubicBezTo>
                <a:pt x="2135471" y="1118478"/>
                <a:pt x="2173387" y="1105198"/>
                <a:pt x="2173387" y="1105198"/>
              </a:cubicBezTo>
              <a:cubicBezTo>
                <a:pt x="2188733" y="1082179"/>
                <a:pt x="2206989" y="1038920"/>
                <a:pt x="2240062" y="1028998"/>
              </a:cubicBezTo>
              <a:cubicBezTo>
                <a:pt x="2261566" y="1022547"/>
                <a:pt x="2284512" y="1022648"/>
                <a:pt x="2306737" y="1019473"/>
              </a:cubicBezTo>
              <a:cubicBezTo>
                <a:pt x="2316262" y="1016298"/>
                <a:pt x="2326084" y="1013903"/>
                <a:pt x="2335312" y="1009948"/>
              </a:cubicBezTo>
              <a:cubicBezTo>
                <a:pt x="2348363" y="1004355"/>
                <a:pt x="2359942" y="995388"/>
                <a:pt x="2373412" y="990898"/>
              </a:cubicBezTo>
              <a:cubicBezTo>
                <a:pt x="2398250" y="982619"/>
                <a:pt x="2424774" y="980127"/>
                <a:pt x="2449612" y="971848"/>
              </a:cubicBezTo>
              <a:lnTo>
                <a:pt x="2478187" y="962323"/>
              </a:lnTo>
              <a:cubicBezTo>
                <a:pt x="2521856" y="896819"/>
                <a:pt x="2494567" y="912413"/>
                <a:pt x="2544862" y="895648"/>
              </a:cubicBezTo>
              <a:cubicBezTo>
                <a:pt x="2563912" y="867073"/>
                <a:pt x="2560737" y="863898"/>
                <a:pt x="2592487" y="848023"/>
              </a:cubicBezTo>
              <a:cubicBezTo>
                <a:pt x="2601467" y="843533"/>
                <a:pt x="2635350" y="808336"/>
                <a:pt x="2640112" y="80992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381000</xdr:colOff>
      <xdr:row>85</xdr:row>
      <xdr:rowOff>76200</xdr:rowOff>
    </xdr:from>
    <xdr:to>
      <xdr:col>7</xdr:col>
      <xdr:colOff>151571</xdr:colOff>
      <xdr:row>102</xdr:row>
      <xdr:rowOff>57150</xdr:rowOff>
    </xdr:to>
    <xdr:grpSp>
      <xdr:nvGrpSpPr>
        <xdr:cNvPr id="95" name="Northwest_Territories"/>
        <xdr:cNvGrpSpPr/>
      </xdr:nvGrpSpPr>
      <xdr:grpSpPr>
        <a:xfrm>
          <a:off x="1703294" y="13724965"/>
          <a:ext cx="2191042" cy="2647950"/>
          <a:chOff x="1703294" y="13724965"/>
          <a:chExt cx="2191042" cy="2647950"/>
        </a:xfrm>
        <a:solidFill>
          <a:srgbClr val="F5F5F5"/>
        </a:solidFill>
      </xdr:grpSpPr>
      <xdr:sp macro="" textlink="">
        <xdr:nvSpPr>
          <xdr:cNvPr id="82" name="Freeform 81"/>
          <xdr:cNvSpPr/>
        </xdr:nvSpPr>
        <xdr:spPr>
          <a:xfrm>
            <a:off x="1703294" y="14252762"/>
            <a:ext cx="2191042" cy="2120153"/>
          </a:xfrm>
          <a:custGeom>
            <a:avLst/>
            <a:gdLst>
              <a:gd name="connsiteX0" fmla="*/ 123825 w 2208971"/>
              <a:gd name="connsiteY0" fmla="*/ 38100 h 2190750"/>
              <a:gd name="connsiteX1" fmla="*/ 114300 w 2208971"/>
              <a:gd name="connsiteY1" fmla="*/ 104775 h 2190750"/>
              <a:gd name="connsiteX2" fmla="*/ 104775 w 2208971"/>
              <a:gd name="connsiteY2" fmla="*/ 133350 h 2190750"/>
              <a:gd name="connsiteX3" fmla="*/ 76200 w 2208971"/>
              <a:gd name="connsiteY3" fmla="*/ 152400 h 2190750"/>
              <a:gd name="connsiteX4" fmla="*/ 66675 w 2208971"/>
              <a:gd name="connsiteY4" fmla="*/ 180975 h 2190750"/>
              <a:gd name="connsiteX5" fmla="*/ 47625 w 2208971"/>
              <a:gd name="connsiteY5" fmla="*/ 209550 h 2190750"/>
              <a:gd name="connsiteX6" fmla="*/ 0 w 2208971"/>
              <a:gd name="connsiteY6" fmla="*/ 285750 h 2190750"/>
              <a:gd name="connsiteX7" fmla="*/ 47625 w 2208971"/>
              <a:gd name="connsiteY7" fmla="*/ 323850 h 2190750"/>
              <a:gd name="connsiteX8" fmla="*/ 66675 w 2208971"/>
              <a:gd name="connsiteY8" fmla="*/ 352425 h 2190750"/>
              <a:gd name="connsiteX9" fmla="*/ 95250 w 2208971"/>
              <a:gd name="connsiteY9" fmla="*/ 371475 h 2190750"/>
              <a:gd name="connsiteX10" fmla="*/ 95250 w 2208971"/>
              <a:gd name="connsiteY10" fmla="*/ 638175 h 2190750"/>
              <a:gd name="connsiteX11" fmla="*/ 85725 w 2208971"/>
              <a:gd name="connsiteY11" fmla="*/ 666750 h 2190750"/>
              <a:gd name="connsiteX12" fmla="*/ 57150 w 2208971"/>
              <a:gd name="connsiteY12" fmla="*/ 723900 h 2190750"/>
              <a:gd name="connsiteX13" fmla="*/ 66675 w 2208971"/>
              <a:gd name="connsiteY13" fmla="*/ 819150 h 2190750"/>
              <a:gd name="connsiteX14" fmla="*/ 95250 w 2208971"/>
              <a:gd name="connsiteY14" fmla="*/ 838200 h 2190750"/>
              <a:gd name="connsiteX15" fmla="*/ 104775 w 2208971"/>
              <a:gd name="connsiteY15" fmla="*/ 866775 h 2190750"/>
              <a:gd name="connsiteX16" fmla="*/ 95250 w 2208971"/>
              <a:gd name="connsiteY16" fmla="*/ 1038225 h 2190750"/>
              <a:gd name="connsiteX17" fmla="*/ 76200 w 2208971"/>
              <a:gd name="connsiteY17" fmla="*/ 1095375 h 2190750"/>
              <a:gd name="connsiteX18" fmla="*/ 47625 w 2208971"/>
              <a:gd name="connsiteY18" fmla="*/ 1238250 h 2190750"/>
              <a:gd name="connsiteX19" fmla="*/ 57150 w 2208971"/>
              <a:gd name="connsiteY19" fmla="*/ 1304925 h 2190750"/>
              <a:gd name="connsiteX20" fmla="*/ 66675 w 2208971"/>
              <a:gd name="connsiteY20" fmla="*/ 1381125 h 2190750"/>
              <a:gd name="connsiteX21" fmla="*/ 123825 w 2208971"/>
              <a:gd name="connsiteY21" fmla="*/ 1409700 h 2190750"/>
              <a:gd name="connsiteX22" fmla="*/ 152400 w 2208971"/>
              <a:gd name="connsiteY22" fmla="*/ 1514475 h 2190750"/>
              <a:gd name="connsiteX23" fmla="*/ 161925 w 2208971"/>
              <a:gd name="connsiteY23" fmla="*/ 1543050 h 2190750"/>
              <a:gd name="connsiteX24" fmla="*/ 171450 w 2208971"/>
              <a:gd name="connsiteY24" fmla="*/ 1590675 h 2190750"/>
              <a:gd name="connsiteX25" fmla="*/ 180975 w 2208971"/>
              <a:gd name="connsiteY25" fmla="*/ 1647825 h 2190750"/>
              <a:gd name="connsiteX26" fmla="*/ 209550 w 2208971"/>
              <a:gd name="connsiteY26" fmla="*/ 1657350 h 2190750"/>
              <a:gd name="connsiteX27" fmla="*/ 247650 w 2208971"/>
              <a:gd name="connsiteY27" fmla="*/ 1647825 h 2190750"/>
              <a:gd name="connsiteX28" fmla="*/ 266700 w 2208971"/>
              <a:gd name="connsiteY28" fmla="*/ 1704975 h 2190750"/>
              <a:gd name="connsiteX29" fmla="*/ 295275 w 2208971"/>
              <a:gd name="connsiteY29" fmla="*/ 1724025 h 2190750"/>
              <a:gd name="connsiteX30" fmla="*/ 342900 w 2208971"/>
              <a:gd name="connsiteY30" fmla="*/ 1809750 h 2190750"/>
              <a:gd name="connsiteX31" fmla="*/ 438150 w 2208971"/>
              <a:gd name="connsiteY31" fmla="*/ 1828800 h 2190750"/>
              <a:gd name="connsiteX32" fmla="*/ 495300 w 2208971"/>
              <a:gd name="connsiteY32" fmla="*/ 1847850 h 2190750"/>
              <a:gd name="connsiteX33" fmla="*/ 552450 w 2208971"/>
              <a:gd name="connsiteY33" fmla="*/ 1876425 h 2190750"/>
              <a:gd name="connsiteX34" fmla="*/ 571500 w 2208971"/>
              <a:gd name="connsiteY34" fmla="*/ 1819275 h 2190750"/>
              <a:gd name="connsiteX35" fmla="*/ 581025 w 2208971"/>
              <a:gd name="connsiteY35" fmla="*/ 1885950 h 2190750"/>
              <a:gd name="connsiteX36" fmla="*/ 657225 w 2208971"/>
              <a:gd name="connsiteY36" fmla="*/ 1905000 h 2190750"/>
              <a:gd name="connsiteX37" fmla="*/ 714375 w 2208971"/>
              <a:gd name="connsiteY37" fmla="*/ 1952625 h 2190750"/>
              <a:gd name="connsiteX38" fmla="*/ 800100 w 2208971"/>
              <a:gd name="connsiteY38" fmla="*/ 1981200 h 2190750"/>
              <a:gd name="connsiteX39" fmla="*/ 857250 w 2208971"/>
              <a:gd name="connsiteY39" fmla="*/ 2000250 h 2190750"/>
              <a:gd name="connsiteX40" fmla="*/ 933450 w 2208971"/>
              <a:gd name="connsiteY40" fmla="*/ 2019300 h 2190750"/>
              <a:gd name="connsiteX41" fmla="*/ 1047750 w 2208971"/>
              <a:gd name="connsiteY41" fmla="*/ 2038350 h 2190750"/>
              <a:gd name="connsiteX42" fmla="*/ 1095375 w 2208971"/>
              <a:gd name="connsiteY42" fmla="*/ 2047875 h 2190750"/>
              <a:gd name="connsiteX43" fmla="*/ 1143000 w 2208971"/>
              <a:gd name="connsiteY43" fmla="*/ 2076450 h 2190750"/>
              <a:gd name="connsiteX44" fmla="*/ 1171575 w 2208971"/>
              <a:gd name="connsiteY44" fmla="*/ 2095500 h 2190750"/>
              <a:gd name="connsiteX45" fmla="*/ 1209675 w 2208971"/>
              <a:gd name="connsiteY45" fmla="*/ 2105025 h 2190750"/>
              <a:gd name="connsiteX46" fmla="*/ 1304925 w 2208971"/>
              <a:gd name="connsiteY46" fmla="*/ 2124075 h 2190750"/>
              <a:gd name="connsiteX47" fmla="*/ 1333500 w 2208971"/>
              <a:gd name="connsiteY47" fmla="*/ 2133600 h 2190750"/>
              <a:gd name="connsiteX48" fmla="*/ 1495425 w 2208971"/>
              <a:gd name="connsiteY48" fmla="*/ 2152650 h 2190750"/>
              <a:gd name="connsiteX49" fmla="*/ 1600200 w 2208971"/>
              <a:gd name="connsiteY49" fmla="*/ 2181225 h 2190750"/>
              <a:gd name="connsiteX50" fmla="*/ 1638300 w 2208971"/>
              <a:gd name="connsiteY50" fmla="*/ 2190750 h 2190750"/>
              <a:gd name="connsiteX51" fmla="*/ 1771650 w 2208971"/>
              <a:gd name="connsiteY51" fmla="*/ 2181225 h 2190750"/>
              <a:gd name="connsiteX52" fmla="*/ 2171700 w 2208971"/>
              <a:gd name="connsiteY52" fmla="*/ 2162175 h 2190750"/>
              <a:gd name="connsiteX53" fmla="*/ 2181225 w 2208971"/>
              <a:gd name="connsiteY53" fmla="*/ 2085975 h 2190750"/>
              <a:gd name="connsiteX54" fmla="*/ 2190750 w 2208971"/>
              <a:gd name="connsiteY54" fmla="*/ 2057400 h 2190750"/>
              <a:gd name="connsiteX55" fmla="*/ 2181225 w 2208971"/>
              <a:gd name="connsiteY55" fmla="*/ 1971675 h 2190750"/>
              <a:gd name="connsiteX56" fmla="*/ 2190750 w 2208971"/>
              <a:gd name="connsiteY56" fmla="*/ 1724025 h 2190750"/>
              <a:gd name="connsiteX57" fmla="*/ 2200275 w 2208971"/>
              <a:gd name="connsiteY57" fmla="*/ 1666875 h 2190750"/>
              <a:gd name="connsiteX58" fmla="*/ 2190750 w 2208971"/>
              <a:gd name="connsiteY58" fmla="*/ 1457325 h 2190750"/>
              <a:gd name="connsiteX59" fmla="*/ 2076450 w 2208971"/>
              <a:gd name="connsiteY59" fmla="*/ 1447800 h 2190750"/>
              <a:gd name="connsiteX60" fmla="*/ 2019300 w 2208971"/>
              <a:gd name="connsiteY60" fmla="*/ 1419225 h 2190750"/>
              <a:gd name="connsiteX61" fmla="*/ 1962150 w 2208971"/>
              <a:gd name="connsiteY61" fmla="*/ 1400175 h 2190750"/>
              <a:gd name="connsiteX62" fmla="*/ 1933575 w 2208971"/>
              <a:gd name="connsiteY62" fmla="*/ 1390650 h 2190750"/>
              <a:gd name="connsiteX63" fmla="*/ 1905000 w 2208971"/>
              <a:gd name="connsiteY63" fmla="*/ 1381125 h 2190750"/>
              <a:gd name="connsiteX64" fmla="*/ 1866900 w 2208971"/>
              <a:gd name="connsiteY64" fmla="*/ 1371600 h 2190750"/>
              <a:gd name="connsiteX65" fmla="*/ 1838325 w 2208971"/>
              <a:gd name="connsiteY65" fmla="*/ 1362075 h 2190750"/>
              <a:gd name="connsiteX66" fmla="*/ 1800225 w 2208971"/>
              <a:gd name="connsiteY66" fmla="*/ 1352550 h 2190750"/>
              <a:gd name="connsiteX67" fmla="*/ 1743075 w 2208971"/>
              <a:gd name="connsiteY67" fmla="*/ 1333500 h 2190750"/>
              <a:gd name="connsiteX68" fmla="*/ 1685925 w 2208971"/>
              <a:gd name="connsiteY68" fmla="*/ 1314450 h 2190750"/>
              <a:gd name="connsiteX69" fmla="*/ 1657350 w 2208971"/>
              <a:gd name="connsiteY69" fmla="*/ 1304925 h 2190750"/>
              <a:gd name="connsiteX70" fmla="*/ 1628775 w 2208971"/>
              <a:gd name="connsiteY70" fmla="*/ 1295400 h 2190750"/>
              <a:gd name="connsiteX71" fmla="*/ 1562100 w 2208971"/>
              <a:gd name="connsiteY71" fmla="*/ 1276350 h 2190750"/>
              <a:gd name="connsiteX72" fmla="*/ 1533525 w 2208971"/>
              <a:gd name="connsiteY72" fmla="*/ 1257300 h 2190750"/>
              <a:gd name="connsiteX73" fmla="*/ 1504950 w 2208971"/>
              <a:gd name="connsiteY73" fmla="*/ 1247775 h 2190750"/>
              <a:gd name="connsiteX74" fmla="*/ 1419225 w 2208971"/>
              <a:gd name="connsiteY74" fmla="*/ 1190625 h 2190750"/>
              <a:gd name="connsiteX75" fmla="*/ 1362075 w 2208971"/>
              <a:gd name="connsiteY75" fmla="*/ 1171575 h 2190750"/>
              <a:gd name="connsiteX76" fmla="*/ 1295400 w 2208971"/>
              <a:gd name="connsiteY76" fmla="*/ 1095375 h 2190750"/>
              <a:gd name="connsiteX77" fmla="*/ 1276350 w 2208971"/>
              <a:gd name="connsiteY77" fmla="*/ 1066800 h 2190750"/>
              <a:gd name="connsiteX78" fmla="*/ 1247775 w 2208971"/>
              <a:gd name="connsiteY78" fmla="*/ 1038225 h 2190750"/>
              <a:gd name="connsiteX79" fmla="*/ 1238250 w 2208971"/>
              <a:gd name="connsiteY79" fmla="*/ 1009650 h 2190750"/>
              <a:gd name="connsiteX80" fmla="*/ 1200150 w 2208971"/>
              <a:gd name="connsiteY80" fmla="*/ 952500 h 2190750"/>
              <a:gd name="connsiteX81" fmla="*/ 1171575 w 2208971"/>
              <a:gd name="connsiteY81" fmla="*/ 895350 h 2190750"/>
              <a:gd name="connsiteX82" fmla="*/ 1162050 w 2208971"/>
              <a:gd name="connsiteY82" fmla="*/ 866775 h 2190750"/>
              <a:gd name="connsiteX83" fmla="*/ 1123950 w 2208971"/>
              <a:gd name="connsiteY83" fmla="*/ 809625 h 2190750"/>
              <a:gd name="connsiteX84" fmla="*/ 1085850 w 2208971"/>
              <a:gd name="connsiteY84" fmla="*/ 752475 h 2190750"/>
              <a:gd name="connsiteX85" fmla="*/ 1066800 w 2208971"/>
              <a:gd name="connsiteY85" fmla="*/ 695325 h 2190750"/>
              <a:gd name="connsiteX86" fmla="*/ 1047750 w 2208971"/>
              <a:gd name="connsiteY86" fmla="*/ 666750 h 2190750"/>
              <a:gd name="connsiteX87" fmla="*/ 1028700 w 2208971"/>
              <a:gd name="connsiteY87" fmla="*/ 609600 h 2190750"/>
              <a:gd name="connsiteX88" fmla="*/ 981075 w 2208971"/>
              <a:gd name="connsiteY88" fmla="*/ 523875 h 2190750"/>
              <a:gd name="connsiteX89" fmla="*/ 990600 w 2208971"/>
              <a:gd name="connsiteY89" fmla="*/ 381000 h 2190750"/>
              <a:gd name="connsiteX90" fmla="*/ 1009650 w 2208971"/>
              <a:gd name="connsiteY90" fmla="*/ 352425 h 2190750"/>
              <a:gd name="connsiteX91" fmla="*/ 1019175 w 2208971"/>
              <a:gd name="connsiteY91" fmla="*/ 314325 h 2190750"/>
              <a:gd name="connsiteX92" fmla="*/ 1009650 w 2208971"/>
              <a:gd name="connsiteY92" fmla="*/ 285750 h 2190750"/>
              <a:gd name="connsiteX93" fmla="*/ 981075 w 2208971"/>
              <a:gd name="connsiteY93" fmla="*/ 266700 h 2190750"/>
              <a:gd name="connsiteX94" fmla="*/ 828675 w 2208971"/>
              <a:gd name="connsiteY94" fmla="*/ 247650 h 2190750"/>
              <a:gd name="connsiteX95" fmla="*/ 781050 w 2208971"/>
              <a:gd name="connsiteY95" fmla="*/ 180975 h 2190750"/>
              <a:gd name="connsiteX96" fmla="*/ 752475 w 2208971"/>
              <a:gd name="connsiteY96" fmla="*/ 190500 h 2190750"/>
              <a:gd name="connsiteX97" fmla="*/ 733425 w 2208971"/>
              <a:gd name="connsiteY97" fmla="*/ 133350 h 2190750"/>
              <a:gd name="connsiteX98" fmla="*/ 714375 w 2208971"/>
              <a:gd name="connsiteY98" fmla="*/ 76200 h 2190750"/>
              <a:gd name="connsiteX99" fmla="*/ 704850 w 2208971"/>
              <a:gd name="connsiteY99" fmla="*/ 47625 h 2190750"/>
              <a:gd name="connsiteX100" fmla="*/ 695325 w 2208971"/>
              <a:gd name="connsiteY100" fmla="*/ 19050 h 2190750"/>
              <a:gd name="connsiteX101" fmla="*/ 647700 w 2208971"/>
              <a:gd name="connsiteY101" fmla="*/ 57150 h 2190750"/>
              <a:gd name="connsiteX102" fmla="*/ 619125 w 2208971"/>
              <a:gd name="connsiteY102" fmla="*/ 66675 h 2190750"/>
              <a:gd name="connsiteX103" fmla="*/ 428625 w 2208971"/>
              <a:gd name="connsiteY103" fmla="*/ 57150 h 2190750"/>
              <a:gd name="connsiteX104" fmla="*/ 485775 w 2208971"/>
              <a:gd name="connsiteY104" fmla="*/ 38100 h 2190750"/>
              <a:gd name="connsiteX105" fmla="*/ 504825 w 2208971"/>
              <a:gd name="connsiteY105" fmla="*/ 9525 h 2190750"/>
              <a:gd name="connsiteX106" fmla="*/ 476250 w 2208971"/>
              <a:gd name="connsiteY106" fmla="*/ 0 h 2190750"/>
              <a:gd name="connsiteX107" fmla="*/ 342900 w 2208971"/>
              <a:gd name="connsiteY107" fmla="*/ 9525 h 2190750"/>
              <a:gd name="connsiteX108" fmla="*/ 180975 w 2208971"/>
              <a:gd name="connsiteY108" fmla="*/ 28575 h 2190750"/>
              <a:gd name="connsiteX109" fmla="*/ 152400 w 2208971"/>
              <a:gd name="connsiteY109" fmla="*/ 38100 h 2190750"/>
              <a:gd name="connsiteX110" fmla="*/ 123825 w 2208971"/>
              <a:gd name="connsiteY110" fmla="*/ 38100 h 2190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Lst>
            <a:rect l="l" t="t" r="r" b="b"/>
            <a:pathLst>
              <a:path w="2208971" h="2190750">
                <a:moveTo>
                  <a:pt x="123825" y="38100"/>
                </a:moveTo>
                <a:cubicBezTo>
                  <a:pt x="117475" y="49212"/>
                  <a:pt x="118703" y="82760"/>
                  <a:pt x="114300" y="104775"/>
                </a:cubicBezTo>
                <a:cubicBezTo>
                  <a:pt x="112331" y="114620"/>
                  <a:pt x="111047" y="125510"/>
                  <a:pt x="104775" y="133350"/>
                </a:cubicBezTo>
                <a:cubicBezTo>
                  <a:pt x="97624" y="142289"/>
                  <a:pt x="85725" y="146050"/>
                  <a:pt x="76200" y="152400"/>
                </a:cubicBezTo>
                <a:cubicBezTo>
                  <a:pt x="73025" y="161925"/>
                  <a:pt x="71165" y="171995"/>
                  <a:pt x="66675" y="180975"/>
                </a:cubicBezTo>
                <a:cubicBezTo>
                  <a:pt x="61555" y="191214"/>
                  <a:pt x="52274" y="199089"/>
                  <a:pt x="47625" y="209550"/>
                </a:cubicBezTo>
                <a:cubicBezTo>
                  <a:pt x="14216" y="284719"/>
                  <a:pt x="51405" y="251480"/>
                  <a:pt x="0" y="285750"/>
                </a:cubicBezTo>
                <a:cubicBezTo>
                  <a:pt x="54595" y="367642"/>
                  <a:pt x="-18100" y="271270"/>
                  <a:pt x="47625" y="323850"/>
                </a:cubicBezTo>
                <a:cubicBezTo>
                  <a:pt x="56564" y="331001"/>
                  <a:pt x="58580" y="344330"/>
                  <a:pt x="66675" y="352425"/>
                </a:cubicBezTo>
                <a:cubicBezTo>
                  <a:pt x="74770" y="360520"/>
                  <a:pt x="85725" y="365125"/>
                  <a:pt x="95250" y="371475"/>
                </a:cubicBezTo>
                <a:cubicBezTo>
                  <a:pt x="129084" y="472977"/>
                  <a:pt x="111599" y="409286"/>
                  <a:pt x="95250" y="638175"/>
                </a:cubicBezTo>
                <a:cubicBezTo>
                  <a:pt x="94535" y="648190"/>
                  <a:pt x="90215" y="657770"/>
                  <a:pt x="85725" y="666750"/>
                </a:cubicBezTo>
                <a:cubicBezTo>
                  <a:pt x="48796" y="740608"/>
                  <a:pt x="81091" y="652076"/>
                  <a:pt x="57150" y="723900"/>
                </a:cubicBezTo>
                <a:cubicBezTo>
                  <a:pt x="60325" y="755650"/>
                  <a:pt x="56585" y="788879"/>
                  <a:pt x="66675" y="819150"/>
                </a:cubicBezTo>
                <a:cubicBezTo>
                  <a:pt x="70295" y="830010"/>
                  <a:pt x="88099" y="829261"/>
                  <a:pt x="95250" y="838200"/>
                </a:cubicBezTo>
                <a:cubicBezTo>
                  <a:pt x="101522" y="846040"/>
                  <a:pt x="101600" y="857250"/>
                  <a:pt x="104775" y="866775"/>
                </a:cubicBezTo>
                <a:cubicBezTo>
                  <a:pt x="101600" y="923925"/>
                  <a:pt x="102350" y="981429"/>
                  <a:pt x="95250" y="1038225"/>
                </a:cubicBezTo>
                <a:cubicBezTo>
                  <a:pt x="92759" y="1058150"/>
                  <a:pt x="81070" y="1075894"/>
                  <a:pt x="76200" y="1095375"/>
                </a:cubicBezTo>
                <a:cubicBezTo>
                  <a:pt x="51705" y="1193355"/>
                  <a:pt x="60853" y="1145656"/>
                  <a:pt x="47625" y="1238250"/>
                </a:cubicBezTo>
                <a:cubicBezTo>
                  <a:pt x="50800" y="1260475"/>
                  <a:pt x="54183" y="1282671"/>
                  <a:pt x="57150" y="1304925"/>
                </a:cubicBezTo>
                <a:cubicBezTo>
                  <a:pt x="60533" y="1330298"/>
                  <a:pt x="57168" y="1357358"/>
                  <a:pt x="66675" y="1381125"/>
                </a:cubicBezTo>
                <a:cubicBezTo>
                  <a:pt x="72356" y="1395328"/>
                  <a:pt x="111796" y="1405690"/>
                  <a:pt x="123825" y="1409700"/>
                </a:cubicBezTo>
                <a:cubicBezTo>
                  <a:pt x="164693" y="1532305"/>
                  <a:pt x="125474" y="1406770"/>
                  <a:pt x="152400" y="1514475"/>
                </a:cubicBezTo>
                <a:cubicBezTo>
                  <a:pt x="154835" y="1524215"/>
                  <a:pt x="159490" y="1533310"/>
                  <a:pt x="161925" y="1543050"/>
                </a:cubicBezTo>
                <a:cubicBezTo>
                  <a:pt x="165852" y="1558756"/>
                  <a:pt x="168554" y="1574747"/>
                  <a:pt x="171450" y="1590675"/>
                </a:cubicBezTo>
                <a:cubicBezTo>
                  <a:pt x="174905" y="1609676"/>
                  <a:pt x="171393" y="1631057"/>
                  <a:pt x="180975" y="1647825"/>
                </a:cubicBezTo>
                <a:cubicBezTo>
                  <a:pt x="185956" y="1656542"/>
                  <a:pt x="200025" y="1654175"/>
                  <a:pt x="209550" y="1657350"/>
                </a:cubicBezTo>
                <a:cubicBezTo>
                  <a:pt x="222250" y="1654175"/>
                  <a:pt x="237593" y="1639444"/>
                  <a:pt x="247650" y="1647825"/>
                </a:cubicBezTo>
                <a:cubicBezTo>
                  <a:pt x="263076" y="1660680"/>
                  <a:pt x="249992" y="1693836"/>
                  <a:pt x="266700" y="1704975"/>
                </a:cubicBezTo>
                <a:lnTo>
                  <a:pt x="295275" y="1724025"/>
                </a:lnTo>
                <a:cubicBezTo>
                  <a:pt x="303581" y="1748944"/>
                  <a:pt x="310190" y="1797169"/>
                  <a:pt x="342900" y="1809750"/>
                </a:cubicBezTo>
                <a:cubicBezTo>
                  <a:pt x="373121" y="1821373"/>
                  <a:pt x="407433" y="1818561"/>
                  <a:pt x="438150" y="1828800"/>
                </a:cubicBezTo>
                <a:lnTo>
                  <a:pt x="495300" y="1847850"/>
                </a:lnTo>
                <a:cubicBezTo>
                  <a:pt x="496259" y="1848489"/>
                  <a:pt x="544563" y="1884312"/>
                  <a:pt x="552450" y="1876425"/>
                </a:cubicBezTo>
                <a:cubicBezTo>
                  <a:pt x="566649" y="1862226"/>
                  <a:pt x="571500" y="1819275"/>
                  <a:pt x="571500" y="1819275"/>
                </a:cubicBezTo>
                <a:cubicBezTo>
                  <a:pt x="574675" y="1841500"/>
                  <a:pt x="565150" y="1870075"/>
                  <a:pt x="581025" y="1885950"/>
                </a:cubicBezTo>
                <a:cubicBezTo>
                  <a:pt x="599538" y="1904463"/>
                  <a:pt x="657225" y="1905000"/>
                  <a:pt x="657225" y="1905000"/>
                </a:cubicBezTo>
                <a:cubicBezTo>
                  <a:pt x="675170" y="1922945"/>
                  <a:pt x="690505" y="1942016"/>
                  <a:pt x="714375" y="1952625"/>
                </a:cubicBezTo>
                <a:lnTo>
                  <a:pt x="800100" y="1981200"/>
                </a:lnTo>
                <a:lnTo>
                  <a:pt x="857250" y="2000250"/>
                </a:lnTo>
                <a:cubicBezTo>
                  <a:pt x="882088" y="2008529"/>
                  <a:pt x="908050" y="2012950"/>
                  <a:pt x="933450" y="2019300"/>
                </a:cubicBezTo>
                <a:cubicBezTo>
                  <a:pt x="978345" y="2030524"/>
                  <a:pt x="999363" y="2030285"/>
                  <a:pt x="1047750" y="2038350"/>
                </a:cubicBezTo>
                <a:cubicBezTo>
                  <a:pt x="1063719" y="2041012"/>
                  <a:pt x="1079500" y="2044700"/>
                  <a:pt x="1095375" y="2047875"/>
                </a:cubicBezTo>
                <a:cubicBezTo>
                  <a:pt x="1111250" y="2057400"/>
                  <a:pt x="1127301" y="2066638"/>
                  <a:pt x="1143000" y="2076450"/>
                </a:cubicBezTo>
                <a:cubicBezTo>
                  <a:pt x="1152708" y="2082517"/>
                  <a:pt x="1161053" y="2090991"/>
                  <a:pt x="1171575" y="2095500"/>
                </a:cubicBezTo>
                <a:cubicBezTo>
                  <a:pt x="1183607" y="2100657"/>
                  <a:pt x="1197088" y="2101429"/>
                  <a:pt x="1209675" y="2105025"/>
                </a:cubicBezTo>
                <a:cubicBezTo>
                  <a:pt x="1276173" y="2124024"/>
                  <a:pt x="1191137" y="2107820"/>
                  <a:pt x="1304925" y="2124075"/>
                </a:cubicBezTo>
                <a:cubicBezTo>
                  <a:pt x="1314450" y="2127250"/>
                  <a:pt x="1323622" y="2131804"/>
                  <a:pt x="1333500" y="2133600"/>
                </a:cubicBezTo>
                <a:cubicBezTo>
                  <a:pt x="1366145" y="2139535"/>
                  <a:pt x="1465222" y="2148335"/>
                  <a:pt x="1495425" y="2152650"/>
                </a:cubicBezTo>
                <a:cubicBezTo>
                  <a:pt x="1542546" y="2159382"/>
                  <a:pt x="1552740" y="2165405"/>
                  <a:pt x="1600200" y="2181225"/>
                </a:cubicBezTo>
                <a:cubicBezTo>
                  <a:pt x="1612619" y="2185365"/>
                  <a:pt x="1625600" y="2187575"/>
                  <a:pt x="1638300" y="2190750"/>
                </a:cubicBezTo>
                <a:cubicBezTo>
                  <a:pt x="1682750" y="2187575"/>
                  <a:pt x="1727135" y="2183295"/>
                  <a:pt x="1771650" y="2181225"/>
                </a:cubicBezTo>
                <a:cubicBezTo>
                  <a:pt x="2214869" y="2160610"/>
                  <a:pt x="1899571" y="2183108"/>
                  <a:pt x="2171700" y="2162175"/>
                </a:cubicBezTo>
                <a:cubicBezTo>
                  <a:pt x="2174875" y="2136775"/>
                  <a:pt x="2176646" y="2111160"/>
                  <a:pt x="2181225" y="2085975"/>
                </a:cubicBezTo>
                <a:cubicBezTo>
                  <a:pt x="2183021" y="2076097"/>
                  <a:pt x="2190750" y="2067440"/>
                  <a:pt x="2190750" y="2057400"/>
                </a:cubicBezTo>
                <a:cubicBezTo>
                  <a:pt x="2190750" y="2028649"/>
                  <a:pt x="2184400" y="2000250"/>
                  <a:pt x="2181225" y="1971675"/>
                </a:cubicBezTo>
                <a:cubicBezTo>
                  <a:pt x="2184400" y="1889125"/>
                  <a:pt x="2185597" y="1806475"/>
                  <a:pt x="2190750" y="1724025"/>
                </a:cubicBezTo>
                <a:cubicBezTo>
                  <a:pt x="2191955" y="1704750"/>
                  <a:pt x="2200275" y="1686188"/>
                  <a:pt x="2200275" y="1666875"/>
                </a:cubicBezTo>
                <a:cubicBezTo>
                  <a:pt x="2200275" y="1596953"/>
                  <a:pt x="2225156" y="1518197"/>
                  <a:pt x="2190750" y="1457325"/>
                </a:cubicBezTo>
                <a:cubicBezTo>
                  <a:pt x="2171938" y="1424042"/>
                  <a:pt x="2114550" y="1450975"/>
                  <a:pt x="2076450" y="1447800"/>
                </a:cubicBezTo>
                <a:cubicBezTo>
                  <a:pt x="1972237" y="1413062"/>
                  <a:pt x="2130087" y="1468464"/>
                  <a:pt x="2019300" y="1419225"/>
                </a:cubicBezTo>
                <a:cubicBezTo>
                  <a:pt x="2000950" y="1411070"/>
                  <a:pt x="1981200" y="1406525"/>
                  <a:pt x="1962150" y="1400175"/>
                </a:cubicBezTo>
                <a:lnTo>
                  <a:pt x="1933575" y="1390650"/>
                </a:lnTo>
                <a:cubicBezTo>
                  <a:pt x="1924050" y="1387475"/>
                  <a:pt x="1914740" y="1383560"/>
                  <a:pt x="1905000" y="1381125"/>
                </a:cubicBezTo>
                <a:cubicBezTo>
                  <a:pt x="1892300" y="1377950"/>
                  <a:pt x="1879487" y="1375196"/>
                  <a:pt x="1866900" y="1371600"/>
                </a:cubicBezTo>
                <a:cubicBezTo>
                  <a:pt x="1857246" y="1368842"/>
                  <a:pt x="1847979" y="1364833"/>
                  <a:pt x="1838325" y="1362075"/>
                </a:cubicBezTo>
                <a:cubicBezTo>
                  <a:pt x="1825738" y="1358479"/>
                  <a:pt x="1812764" y="1356312"/>
                  <a:pt x="1800225" y="1352550"/>
                </a:cubicBezTo>
                <a:cubicBezTo>
                  <a:pt x="1780991" y="1346780"/>
                  <a:pt x="1762125" y="1339850"/>
                  <a:pt x="1743075" y="1333500"/>
                </a:cubicBezTo>
                <a:lnTo>
                  <a:pt x="1685925" y="1314450"/>
                </a:lnTo>
                <a:lnTo>
                  <a:pt x="1657350" y="1304925"/>
                </a:lnTo>
                <a:cubicBezTo>
                  <a:pt x="1647825" y="1301750"/>
                  <a:pt x="1638515" y="1297835"/>
                  <a:pt x="1628775" y="1295400"/>
                </a:cubicBezTo>
                <a:cubicBezTo>
                  <a:pt x="1580935" y="1283440"/>
                  <a:pt x="1603094" y="1290015"/>
                  <a:pt x="1562100" y="1276350"/>
                </a:cubicBezTo>
                <a:cubicBezTo>
                  <a:pt x="1552575" y="1270000"/>
                  <a:pt x="1543764" y="1262420"/>
                  <a:pt x="1533525" y="1257300"/>
                </a:cubicBezTo>
                <a:cubicBezTo>
                  <a:pt x="1524545" y="1252810"/>
                  <a:pt x="1513727" y="1252651"/>
                  <a:pt x="1504950" y="1247775"/>
                </a:cubicBezTo>
                <a:lnTo>
                  <a:pt x="1419225" y="1190625"/>
                </a:lnTo>
                <a:cubicBezTo>
                  <a:pt x="1402517" y="1179486"/>
                  <a:pt x="1362075" y="1171575"/>
                  <a:pt x="1362075" y="1171575"/>
                </a:cubicBezTo>
                <a:cubicBezTo>
                  <a:pt x="1317625" y="1104900"/>
                  <a:pt x="1343025" y="1127125"/>
                  <a:pt x="1295400" y="1095375"/>
                </a:cubicBezTo>
                <a:cubicBezTo>
                  <a:pt x="1289050" y="1085850"/>
                  <a:pt x="1283679" y="1075594"/>
                  <a:pt x="1276350" y="1066800"/>
                </a:cubicBezTo>
                <a:cubicBezTo>
                  <a:pt x="1267726" y="1056452"/>
                  <a:pt x="1255247" y="1049433"/>
                  <a:pt x="1247775" y="1038225"/>
                </a:cubicBezTo>
                <a:cubicBezTo>
                  <a:pt x="1242206" y="1029871"/>
                  <a:pt x="1243126" y="1018427"/>
                  <a:pt x="1238250" y="1009650"/>
                </a:cubicBezTo>
                <a:cubicBezTo>
                  <a:pt x="1227131" y="989636"/>
                  <a:pt x="1207390" y="974220"/>
                  <a:pt x="1200150" y="952500"/>
                </a:cubicBezTo>
                <a:cubicBezTo>
                  <a:pt x="1176209" y="880676"/>
                  <a:pt x="1208504" y="969208"/>
                  <a:pt x="1171575" y="895350"/>
                </a:cubicBezTo>
                <a:cubicBezTo>
                  <a:pt x="1167085" y="886370"/>
                  <a:pt x="1166926" y="875552"/>
                  <a:pt x="1162050" y="866775"/>
                </a:cubicBezTo>
                <a:cubicBezTo>
                  <a:pt x="1150931" y="846761"/>
                  <a:pt x="1131190" y="831345"/>
                  <a:pt x="1123950" y="809625"/>
                </a:cubicBezTo>
                <a:cubicBezTo>
                  <a:pt x="1110165" y="768271"/>
                  <a:pt x="1121525" y="788150"/>
                  <a:pt x="1085850" y="752475"/>
                </a:cubicBezTo>
                <a:cubicBezTo>
                  <a:pt x="1079500" y="733425"/>
                  <a:pt x="1077939" y="712033"/>
                  <a:pt x="1066800" y="695325"/>
                </a:cubicBezTo>
                <a:cubicBezTo>
                  <a:pt x="1060450" y="685800"/>
                  <a:pt x="1052399" y="677211"/>
                  <a:pt x="1047750" y="666750"/>
                </a:cubicBezTo>
                <a:cubicBezTo>
                  <a:pt x="1039595" y="648400"/>
                  <a:pt x="1039839" y="626308"/>
                  <a:pt x="1028700" y="609600"/>
                </a:cubicBezTo>
                <a:cubicBezTo>
                  <a:pt x="985031" y="544096"/>
                  <a:pt x="997840" y="574170"/>
                  <a:pt x="981075" y="523875"/>
                </a:cubicBezTo>
                <a:cubicBezTo>
                  <a:pt x="984250" y="476250"/>
                  <a:pt x="982753" y="428081"/>
                  <a:pt x="990600" y="381000"/>
                </a:cubicBezTo>
                <a:cubicBezTo>
                  <a:pt x="992482" y="369708"/>
                  <a:pt x="1005141" y="362947"/>
                  <a:pt x="1009650" y="352425"/>
                </a:cubicBezTo>
                <a:cubicBezTo>
                  <a:pt x="1014807" y="340393"/>
                  <a:pt x="1016000" y="327025"/>
                  <a:pt x="1019175" y="314325"/>
                </a:cubicBezTo>
                <a:cubicBezTo>
                  <a:pt x="1016000" y="304800"/>
                  <a:pt x="1015922" y="293590"/>
                  <a:pt x="1009650" y="285750"/>
                </a:cubicBezTo>
                <a:cubicBezTo>
                  <a:pt x="1002499" y="276811"/>
                  <a:pt x="991314" y="271820"/>
                  <a:pt x="981075" y="266700"/>
                </a:cubicBezTo>
                <a:cubicBezTo>
                  <a:pt x="939955" y="246140"/>
                  <a:pt x="852309" y="249468"/>
                  <a:pt x="828675" y="247650"/>
                </a:cubicBezTo>
                <a:cubicBezTo>
                  <a:pt x="806450" y="180975"/>
                  <a:pt x="828675" y="196850"/>
                  <a:pt x="781050" y="180975"/>
                </a:cubicBezTo>
                <a:cubicBezTo>
                  <a:pt x="771525" y="184150"/>
                  <a:pt x="759575" y="197600"/>
                  <a:pt x="752475" y="190500"/>
                </a:cubicBezTo>
                <a:cubicBezTo>
                  <a:pt x="738276" y="176301"/>
                  <a:pt x="739775" y="152400"/>
                  <a:pt x="733425" y="133350"/>
                </a:cubicBezTo>
                <a:lnTo>
                  <a:pt x="714375" y="76200"/>
                </a:lnTo>
                <a:lnTo>
                  <a:pt x="704850" y="47625"/>
                </a:lnTo>
                <a:lnTo>
                  <a:pt x="695325" y="19050"/>
                </a:lnTo>
                <a:cubicBezTo>
                  <a:pt x="623501" y="42991"/>
                  <a:pt x="709248" y="7911"/>
                  <a:pt x="647700" y="57150"/>
                </a:cubicBezTo>
                <a:cubicBezTo>
                  <a:pt x="639860" y="63422"/>
                  <a:pt x="628650" y="63500"/>
                  <a:pt x="619125" y="66675"/>
                </a:cubicBezTo>
                <a:cubicBezTo>
                  <a:pt x="555625" y="63500"/>
                  <a:pt x="490793" y="70472"/>
                  <a:pt x="428625" y="57150"/>
                </a:cubicBezTo>
                <a:cubicBezTo>
                  <a:pt x="408990" y="52943"/>
                  <a:pt x="485775" y="38100"/>
                  <a:pt x="485775" y="38100"/>
                </a:cubicBezTo>
                <a:cubicBezTo>
                  <a:pt x="492125" y="28575"/>
                  <a:pt x="507601" y="20631"/>
                  <a:pt x="504825" y="9525"/>
                </a:cubicBezTo>
                <a:cubicBezTo>
                  <a:pt x="502390" y="-215"/>
                  <a:pt x="486290" y="0"/>
                  <a:pt x="476250" y="0"/>
                </a:cubicBezTo>
                <a:cubicBezTo>
                  <a:pt x="431687" y="0"/>
                  <a:pt x="387321" y="5971"/>
                  <a:pt x="342900" y="9525"/>
                </a:cubicBezTo>
                <a:cubicBezTo>
                  <a:pt x="234501" y="18197"/>
                  <a:pt x="264121" y="14717"/>
                  <a:pt x="180975" y="28575"/>
                </a:cubicBezTo>
                <a:cubicBezTo>
                  <a:pt x="171450" y="31750"/>
                  <a:pt x="160240" y="31828"/>
                  <a:pt x="152400" y="38100"/>
                </a:cubicBezTo>
                <a:cubicBezTo>
                  <a:pt x="110077" y="71959"/>
                  <a:pt x="130175" y="26988"/>
                  <a:pt x="123825" y="3810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xdr:cNvSpPr/>
        </xdr:nvSpPr>
        <xdr:spPr>
          <a:xfrm>
            <a:off x="2665879" y="13724965"/>
            <a:ext cx="548581" cy="552315"/>
          </a:xfrm>
          <a:custGeom>
            <a:avLst/>
            <a:gdLst>
              <a:gd name="connsiteX0" fmla="*/ 552450 w 553063"/>
              <a:gd name="connsiteY0" fmla="*/ 257175 h 572486"/>
              <a:gd name="connsiteX1" fmla="*/ 523875 w 553063"/>
              <a:gd name="connsiteY1" fmla="*/ 152400 h 572486"/>
              <a:gd name="connsiteX2" fmla="*/ 504825 w 553063"/>
              <a:gd name="connsiteY2" fmla="*/ 123825 h 572486"/>
              <a:gd name="connsiteX3" fmla="*/ 476250 w 553063"/>
              <a:gd name="connsiteY3" fmla="*/ 114300 h 572486"/>
              <a:gd name="connsiteX4" fmla="*/ 409575 w 553063"/>
              <a:gd name="connsiteY4" fmla="*/ 123825 h 572486"/>
              <a:gd name="connsiteX5" fmla="*/ 381000 w 553063"/>
              <a:gd name="connsiteY5" fmla="*/ 38100 h 572486"/>
              <a:gd name="connsiteX6" fmla="*/ 314325 w 553063"/>
              <a:gd name="connsiteY6" fmla="*/ 28575 h 572486"/>
              <a:gd name="connsiteX7" fmla="*/ 257175 w 553063"/>
              <a:gd name="connsiteY7" fmla="*/ 0 h 572486"/>
              <a:gd name="connsiteX8" fmla="*/ 219075 w 553063"/>
              <a:gd name="connsiteY8" fmla="*/ 9525 h 572486"/>
              <a:gd name="connsiteX9" fmla="*/ 171450 w 553063"/>
              <a:gd name="connsiteY9" fmla="*/ 95250 h 572486"/>
              <a:gd name="connsiteX10" fmla="*/ 133350 w 553063"/>
              <a:gd name="connsiteY10" fmla="*/ 152400 h 572486"/>
              <a:gd name="connsiteX11" fmla="*/ 104775 w 553063"/>
              <a:gd name="connsiteY11" fmla="*/ 161925 h 572486"/>
              <a:gd name="connsiteX12" fmla="*/ 76200 w 553063"/>
              <a:gd name="connsiteY12" fmla="*/ 180975 h 572486"/>
              <a:gd name="connsiteX13" fmla="*/ 47625 w 553063"/>
              <a:gd name="connsiteY13" fmla="*/ 190500 h 572486"/>
              <a:gd name="connsiteX14" fmla="*/ 0 w 553063"/>
              <a:gd name="connsiteY14" fmla="*/ 276225 h 572486"/>
              <a:gd name="connsiteX15" fmla="*/ 9525 w 553063"/>
              <a:gd name="connsiteY15" fmla="*/ 419100 h 572486"/>
              <a:gd name="connsiteX16" fmla="*/ 19050 w 553063"/>
              <a:gd name="connsiteY16" fmla="*/ 447675 h 572486"/>
              <a:gd name="connsiteX17" fmla="*/ 28575 w 553063"/>
              <a:gd name="connsiteY17" fmla="*/ 504825 h 572486"/>
              <a:gd name="connsiteX18" fmla="*/ 57150 w 553063"/>
              <a:gd name="connsiteY18" fmla="*/ 533400 h 572486"/>
              <a:gd name="connsiteX19" fmla="*/ 66675 w 553063"/>
              <a:gd name="connsiteY19" fmla="*/ 571500 h 572486"/>
              <a:gd name="connsiteX20" fmla="*/ 95250 w 553063"/>
              <a:gd name="connsiteY20" fmla="*/ 552450 h 572486"/>
              <a:gd name="connsiteX21" fmla="*/ 114300 w 553063"/>
              <a:gd name="connsiteY21" fmla="*/ 523875 h 572486"/>
              <a:gd name="connsiteX22" fmla="*/ 190500 w 553063"/>
              <a:gd name="connsiteY22" fmla="*/ 485775 h 572486"/>
              <a:gd name="connsiteX23" fmla="*/ 247650 w 553063"/>
              <a:gd name="connsiteY23" fmla="*/ 438150 h 572486"/>
              <a:gd name="connsiteX24" fmla="*/ 257175 w 553063"/>
              <a:gd name="connsiteY24" fmla="*/ 409575 h 572486"/>
              <a:gd name="connsiteX25" fmla="*/ 295275 w 553063"/>
              <a:gd name="connsiteY25" fmla="*/ 352425 h 572486"/>
              <a:gd name="connsiteX26" fmla="*/ 390525 w 553063"/>
              <a:gd name="connsiteY26" fmla="*/ 333375 h 572486"/>
              <a:gd name="connsiteX27" fmla="*/ 447675 w 553063"/>
              <a:gd name="connsiteY27" fmla="*/ 314325 h 572486"/>
              <a:gd name="connsiteX28" fmla="*/ 476250 w 553063"/>
              <a:gd name="connsiteY28" fmla="*/ 304800 h 572486"/>
              <a:gd name="connsiteX29" fmla="*/ 542925 w 553063"/>
              <a:gd name="connsiteY29" fmla="*/ 285750 h 572486"/>
              <a:gd name="connsiteX30" fmla="*/ 552450 w 553063"/>
              <a:gd name="connsiteY30" fmla="*/ 257175 h 572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553063" h="572486">
                <a:moveTo>
                  <a:pt x="552450" y="257175"/>
                </a:moveTo>
                <a:cubicBezTo>
                  <a:pt x="549275" y="234950"/>
                  <a:pt x="548045" y="224909"/>
                  <a:pt x="523875" y="152400"/>
                </a:cubicBezTo>
                <a:cubicBezTo>
                  <a:pt x="520255" y="141540"/>
                  <a:pt x="513764" y="130976"/>
                  <a:pt x="504825" y="123825"/>
                </a:cubicBezTo>
                <a:cubicBezTo>
                  <a:pt x="496985" y="117553"/>
                  <a:pt x="485775" y="117475"/>
                  <a:pt x="476250" y="114300"/>
                </a:cubicBezTo>
                <a:cubicBezTo>
                  <a:pt x="454025" y="117475"/>
                  <a:pt x="431491" y="128695"/>
                  <a:pt x="409575" y="123825"/>
                </a:cubicBezTo>
                <a:cubicBezTo>
                  <a:pt x="384987" y="118361"/>
                  <a:pt x="383678" y="40443"/>
                  <a:pt x="381000" y="38100"/>
                </a:cubicBezTo>
                <a:cubicBezTo>
                  <a:pt x="364104" y="23316"/>
                  <a:pt x="336550" y="31750"/>
                  <a:pt x="314325" y="28575"/>
                </a:cubicBezTo>
                <a:cubicBezTo>
                  <a:pt x="299878" y="18943"/>
                  <a:pt x="276893" y="0"/>
                  <a:pt x="257175" y="0"/>
                </a:cubicBezTo>
                <a:cubicBezTo>
                  <a:pt x="244084" y="0"/>
                  <a:pt x="231775" y="6350"/>
                  <a:pt x="219075" y="9525"/>
                </a:cubicBezTo>
                <a:cubicBezTo>
                  <a:pt x="202310" y="59820"/>
                  <a:pt x="215119" y="29746"/>
                  <a:pt x="171450" y="95250"/>
                </a:cubicBezTo>
                <a:lnTo>
                  <a:pt x="133350" y="152400"/>
                </a:lnTo>
                <a:cubicBezTo>
                  <a:pt x="127781" y="160754"/>
                  <a:pt x="114300" y="158750"/>
                  <a:pt x="104775" y="161925"/>
                </a:cubicBezTo>
                <a:cubicBezTo>
                  <a:pt x="95250" y="168275"/>
                  <a:pt x="86439" y="175855"/>
                  <a:pt x="76200" y="180975"/>
                </a:cubicBezTo>
                <a:cubicBezTo>
                  <a:pt x="67220" y="185465"/>
                  <a:pt x="54725" y="183400"/>
                  <a:pt x="47625" y="190500"/>
                </a:cubicBezTo>
                <a:cubicBezTo>
                  <a:pt x="14873" y="223252"/>
                  <a:pt x="11978" y="240292"/>
                  <a:pt x="0" y="276225"/>
                </a:cubicBezTo>
                <a:cubicBezTo>
                  <a:pt x="3175" y="323850"/>
                  <a:pt x="4254" y="371661"/>
                  <a:pt x="9525" y="419100"/>
                </a:cubicBezTo>
                <a:cubicBezTo>
                  <a:pt x="10634" y="429079"/>
                  <a:pt x="16872" y="437874"/>
                  <a:pt x="19050" y="447675"/>
                </a:cubicBezTo>
                <a:cubicBezTo>
                  <a:pt x="23240" y="466528"/>
                  <a:pt x="20731" y="487177"/>
                  <a:pt x="28575" y="504825"/>
                </a:cubicBezTo>
                <a:cubicBezTo>
                  <a:pt x="34046" y="517134"/>
                  <a:pt x="47625" y="523875"/>
                  <a:pt x="57150" y="533400"/>
                </a:cubicBezTo>
                <a:cubicBezTo>
                  <a:pt x="60325" y="546100"/>
                  <a:pt x="54966" y="565646"/>
                  <a:pt x="66675" y="571500"/>
                </a:cubicBezTo>
                <a:cubicBezTo>
                  <a:pt x="76914" y="576620"/>
                  <a:pt x="87155" y="560545"/>
                  <a:pt x="95250" y="552450"/>
                </a:cubicBezTo>
                <a:cubicBezTo>
                  <a:pt x="103345" y="544355"/>
                  <a:pt x="106205" y="531970"/>
                  <a:pt x="114300" y="523875"/>
                </a:cubicBezTo>
                <a:cubicBezTo>
                  <a:pt x="146682" y="491493"/>
                  <a:pt x="150350" y="495812"/>
                  <a:pt x="190500" y="485775"/>
                </a:cubicBezTo>
                <a:cubicBezTo>
                  <a:pt x="211585" y="471718"/>
                  <a:pt x="232982" y="460152"/>
                  <a:pt x="247650" y="438150"/>
                </a:cubicBezTo>
                <a:cubicBezTo>
                  <a:pt x="253219" y="429796"/>
                  <a:pt x="252299" y="418352"/>
                  <a:pt x="257175" y="409575"/>
                </a:cubicBezTo>
                <a:cubicBezTo>
                  <a:pt x="268294" y="389561"/>
                  <a:pt x="282575" y="371475"/>
                  <a:pt x="295275" y="352425"/>
                </a:cubicBezTo>
                <a:cubicBezTo>
                  <a:pt x="313236" y="325484"/>
                  <a:pt x="359808" y="343614"/>
                  <a:pt x="390525" y="333375"/>
                </a:cubicBezTo>
                <a:lnTo>
                  <a:pt x="447675" y="314325"/>
                </a:lnTo>
                <a:cubicBezTo>
                  <a:pt x="457200" y="311150"/>
                  <a:pt x="466510" y="307235"/>
                  <a:pt x="476250" y="304800"/>
                </a:cubicBezTo>
                <a:cubicBezTo>
                  <a:pt x="481331" y="303530"/>
                  <a:pt x="534726" y="291216"/>
                  <a:pt x="542925" y="285750"/>
                </a:cubicBezTo>
                <a:cubicBezTo>
                  <a:pt x="545567" y="283989"/>
                  <a:pt x="555625" y="279400"/>
                  <a:pt x="552450" y="25717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xdr:cNvSpPr/>
        </xdr:nvSpPr>
        <xdr:spPr>
          <a:xfrm>
            <a:off x="2989729" y="14066161"/>
            <a:ext cx="434344" cy="519415"/>
          </a:xfrm>
          <a:custGeom>
            <a:avLst/>
            <a:gdLst>
              <a:gd name="connsiteX0" fmla="*/ 438150 w 438826"/>
              <a:gd name="connsiteY0" fmla="*/ 144018 h 534543"/>
              <a:gd name="connsiteX1" fmla="*/ 428625 w 438826"/>
              <a:gd name="connsiteY1" fmla="*/ 324993 h 534543"/>
              <a:gd name="connsiteX2" fmla="*/ 409575 w 438826"/>
              <a:gd name="connsiteY2" fmla="*/ 534543 h 534543"/>
              <a:gd name="connsiteX3" fmla="*/ 381000 w 438826"/>
              <a:gd name="connsiteY3" fmla="*/ 515493 h 534543"/>
              <a:gd name="connsiteX4" fmla="*/ 342900 w 438826"/>
              <a:gd name="connsiteY4" fmla="*/ 505968 h 534543"/>
              <a:gd name="connsiteX5" fmla="*/ 314325 w 438826"/>
              <a:gd name="connsiteY5" fmla="*/ 496443 h 534543"/>
              <a:gd name="connsiteX6" fmla="*/ 285750 w 438826"/>
              <a:gd name="connsiteY6" fmla="*/ 477393 h 534543"/>
              <a:gd name="connsiteX7" fmla="*/ 266700 w 438826"/>
              <a:gd name="connsiteY7" fmla="*/ 448818 h 534543"/>
              <a:gd name="connsiteX8" fmla="*/ 238125 w 438826"/>
              <a:gd name="connsiteY8" fmla="*/ 439293 h 534543"/>
              <a:gd name="connsiteX9" fmla="*/ 209550 w 438826"/>
              <a:gd name="connsiteY9" fmla="*/ 420243 h 534543"/>
              <a:gd name="connsiteX10" fmla="*/ 104775 w 438826"/>
              <a:gd name="connsiteY10" fmla="*/ 391668 h 534543"/>
              <a:gd name="connsiteX11" fmla="*/ 0 w 438826"/>
              <a:gd name="connsiteY11" fmla="*/ 382143 h 534543"/>
              <a:gd name="connsiteX12" fmla="*/ 9525 w 438826"/>
              <a:gd name="connsiteY12" fmla="*/ 315468 h 534543"/>
              <a:gd name="connsiteX13" fmla="*/ 85725 w 438826"/>
              <a:gd name="connsiteY13" fmla="*/ 277368 h 534543"/>
              <a:gd name="connsiteX14" fmla="*/ 28575 w 438826"/>
              <a:gd name="connsiteY14" fmla="*/ 267843 h 534543"/>
              <a:gd name="connsiteX15" fmla="*/ 19050 w 438826"/>
              <a:gd name="connsiteY15" fmla="*/ 239268 h 534543"/>
              <a:gd name="connsiteX16" fmla="*/ 9525 w 438826"/>
              <a:gd name="connsiteY16" fmla="*/ 201168 h 534543"/>
              <a:gd name="connsiteX17" fmla="*/ 19050 w 438826"/>
              <a:gd name="connsiteY17" fmla="*/ 105918 h 534543"/>
              <a:gd name="connsiteX18" fmla="*/ 28575 w 438826"/>
              <a:gd name="connsiteY18" fmla="*/ 77343 h 534543"/>
              <a:gd name="connsiteX19" fmla="*/ 123825 w 438826"/>
              <a:gd name="connsiteY19" fmla="*/ 67818 h 534543"/>
              <a:gd name="connsiteX20" fmla="*/ 161925 w 438826"/>
              <a:gd name="connsiteY20" fmla="*/ 58293 h 534543"/>
              <a:gd name="connsiteX21" fmla="*/ 228600 w 438826"/>
              <a:gd name="connsiteY21" fmla="*/ 29718 h 534543"/>
              <a:gd name="connsiteX22" fmla="*/ 247650 w 438826"/>
              <a:gd name="connsiteY22" fmla="*/ 1143 h 534543"/>
              <a:gd name="connsiteX23" fmla="*/ 295275 w 438826"/>
              <a:gd name="connsiteY23" fmla="*/ 67818 h 534543"/>
              <a:gd name="connsiteX24" fmla="*/ 352425 w 438826"/>
              <a:gd name="connsiteY24" fmla="*/ 77343 h 534543"/>
              <a:gd name="connsiteX25" fmla="*/ 400050 w 438826"/>
              <a:gd name="connsiteY25" fmla="*/ 124968 h 534543"/>
              <a:gd name="connsiteX26" fmla="*/ 409575 w 438826"/>
              <a:gd name="connsiteY26" fmla="*/ 153543 h 534543"/>
              <a:gd name="connsiteX27" fmla="*/ 438150 w 438826"/>
              <a:gd name="connsiteY27" fmla="*/ 144018 h 5345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38826" h="534543">
                <a:moveTo>
                  <a:pt x="438150" y="144018"/>
                </a:moveTo>
                <a:cubicBezTo>
                  <a:pt x="441325" y="172593"/>
                  <a:pt x="432514" y="264710"/>
                  <a:pt x="428625" y="324993"/>
                </a:cubicBezTo>
                <a:cubicBezTo>
                  <a:pt x="424198" y="393615"/>
                  <a:pt x="416438" y="465912"/>
                  <a:pt x="409575" y="534543"/>
                </a:cubicBezTo>
                <a:cubicBezTo>
                  <a:pt x="400050" y="528193"/>
                  <a:pt x="391522" y="520002"/>
                  <a:pt x="381000" y="515493"/>
                </a:cubicBezTo>
                <a:cubicBezTo>
                  <a:pt x="368968" y="510336"/>
                  <a:pt x="355487" y="509564"/>
                  <a:pt x="342900" y="505968"/>
                </a:cubicBezTo>
                <a:cubicBezTo>
                  <a:pt x="333246" y="503210"/>
                  <a:pt x="323850" y="499618"/>
                  <a:pt x="314325" y="496443"/>
                </a:cubicBezTo>
                <a:cubicBezTo>
                  <a:pt x="304800" y="490093"/>
                  <a:pt x="293845" y="485488"/>
                  <a:pt x="285750" y="477393"/>
                </a:cubicBezTo>
                <a:cubicBezTo>
                  <a:pt x="277655" y="469298"/>
                  <a:pt x="275639" y="455969"/>
                  <a:pt x="266700" y="448818"/>
                </a:cubicBezTo>
                <a:cubicBezTo>
                  <a:pt x="258860" y="442546"/>
                  <a:pt x="247650" y="442468"/>
                  <a:pt x="238125" y="439293"/>
                </a:cubicBezTo>
                <a:cubicBezTo>
                  <a:pt x="228600" y="432943"/>
                  <a:pt x="220011" y="424892"/>
                  <a:pt x="209550" y="420243"/>
                </a:cubicBezTo>
                <a:cubicBezTo>
                  <a:pt x="181865" y="407938"/>
                  <a:pt x="135953" y="395565"/>
                  <a:pt x="104775" y="391668"/>
                </a:cubicBezTo>
                <a:cubicBezTo>
                  <a:pt x="69977" y="387318"/>
                  <a:pt x="34925" y="385318"/>
                  <a:pt x="0" y="382143"/>
                </a:cubicBezTo>
                <a:cubicBezTo>
                  <a:pt x="3175" y="359918"/>
                  <a:pt x="-6350" y="331343"/>
                  <a:pt x="9525" y="315468"/>
                </a:cubicBezTo>
                <a:cubicBezTo>
                  <a:pt x="118974" y="206019"/>
                  <a:pt x="54416" y="371294"/>
                  <a:pt x="85725" y="277368"/>
                </a:cubicBezTo>
                <a:cubicBezTo>
                  <a:pt x="66675" y="274193"/>
                  <a:pt x="45343" y="277425"/>
                  <a:pt x="28575" y="267843"/>
                </a:cubicBezTo>
                <a:cubicBezTo>
                  <a:pt x="19858" y="262862"/>
                  <a:pt x="21808" y="248922"/>
                  <a:pt x="19050" y="239268"/>
                </a:cubicBezTo>
                <a:cubicBezTo>
                  <a:pt x="15454" y="226681"/>
                  <a:pt x="12700" y="213868"/>
                  <a:pt x="9525" y="201168"/>
                </a:cubicBezTo>
                <a:cubicBezTo>
                  <a:pt x="12700" y="169418"/>
                  <a:pt x="14198" y="137455"/>
                  <a:pt x="19050" y="105918"/>
                </a:cubicBezTo>
                <a:cubicBezTo>
                  <a:pt x="20577" y="95995"/>
                  <a:pt x="19139" y="80774"/>
                  <a:pt x="28575" y="77343"/>
                </a:cubicBezTo>
                <a:cubicBezTo>
                  <a:pt x="58562" y="66439"/>
                  <a:pt x="92075" y="70993"/>
                  <a:pt x="123825" y="67818"/>
                </a:cubicBezTo>
                <a:cubicBezTo>
                  <a:pt x="136525" y="64643"/>
                  <a:pt x="149893" y="63450"/>
                  <a:pt x="161925" y="58293"/>
                </a:cubicBezTo>
                <a:cubicBezTo>
                  <a:pt x="254015" y="18826"/>
                  <a:pt x="119217" y="57064"/>
                  <a:pt x="228600" y="29718"/>
                </a:cubicBezTo>
                <a:cubicBezTo>
                  <a:pt x="234950" y="20193"/>
                  <a:pt x="238492" y="-5726"/>
                  <a:pt x="247650" y="1143"/>
                </a:cubicBezTo>
                <a:cubicBezTo>
                  <a:pt x="344571" y="73834"/>
                  <a:pt x="210302" y="48935"/>
                  <a:pt x="295275" y="67818"/>
                </a:cubicBezTo>
                <a:cubicBezTo>
                  <a:pt x="314128" y="72008"/>
                  <a:pt x="333375" y="74168"/>
                  <a:pt x="352425" y="77343"/>
                </a:cubicBezTo>
                <a:cubicBezTo>
                  <a:pt x="381000" y="96393"/>
                  <a:pt x="384175" y="93218"/>
                  <a:pt x="400050" y="124968"/>
                </a:cubicBezTo>
                <a:cubicBezTo>
                  <a:pt x="404540" y="133948"/>
                  <a:pt x="403303" y="145703"/>
                  <a:pt x="409575" y="153543"/>
                </a:cubicBezTo>
                <a:cubicBezTo>
                  <a:pt x="433509" y="183461"/>
                  <a:pt x="434975" y="115443"/>
                  <a:pt x="438150" y="144018"/>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171450</xdr:colOff>
      <xdr:row>76</xdr:row>
      <xdr:rowOff>70871</xdr:rowOff>
    </xdr:from>
    <xdr:to>
      <xdr:col>11</xdr:col>
      <xdr:colOff>476250</xdr:colOff>
      <xdr:row>102</xdr:row>
      <xdr:rowOff>47625</xdr:rowOff>
    </xdr:to>
    <xdr:grpSp>
      <xdr:nvGrpSpPr>
        <xdr:cNvPr id="96" name="Nunavut"/>
        <xdr:cNvGrpSpPr/>
      </xdr:nvGrpSpPr>
      <xdr:grpSpPr>
        <a:xfrm>
          <a:off x="2703979" y="12307695"/>
          <a:ext cx="3935506" cy="4055695"/>
          <a:chOff x="2703979" y="12307695"/>
          <a:chExt cx="3935506" cy="4055695"/>
        </a:xfrm>
        <a:solidFill>
          <a:srgbClr val="F5F5F5"/>
        </a:solidFill>
      </xdr:grpSpPr>
      <xdr:sp macro="" textlink="">
        <xdr:nvSpPr>
          <xdr:cNvPr id="85" name="Freeform 84"/>
          <xdr:cNvSpPr/>
        </xdr:nvSpPr>
        <xdr:spPr>
          <a:xfrm>
            <a:off x="2703979" y="14342969"/>
            <a:ext cx="2496671" cy="2020421"/>
          </a:xfrm>
          <a:custGeom>
            <a:avLst/>
            <a:gdLst>
              <a:gd name="connsiteX0" fmla="*/ 19050 w 2514600"/>
              <a:gd name="connsiteY0" fmla="*/ 228600 h 2085975"/>
              <a:gd name="connsiteX1" fmla="*/ 0 w 2514600"/>
              <a:gd name="connsiteY1" fmla="*/ 352425 h 2085975"/>
              <a:gd name="connsiteX2" fmla="*/ 9525 w 2514600"/>
              <a:gd name="connsiteY2" fmla="*/ 457200 h 2085975"/>
              <a:gd name="connsiteX3" fmla="*/ 19050 w 2514600"/>
              <a:gd name="connsiteY3" fmla="*/ 485775 h 2085975"/>
              <a:gd name="connsiteX4" fmla="*/ 57150 w 2514600"/>
              <a:gd name="connsiteY4" fmla="*/ 542925 h 2085975"/>
              <a:gd name="connsiteX5" fmla="*/ 66675 w 2514600"/>
              <a:gd name="connsiteY5" fmla="*/ 628650 h 2085975"/>
              <a:gd name="connsiteX6" fmla="*/ 85725 w 2514600"/>
              <a:gd name="connsiteY6" fmla="*/ 685800 h 2085975"/>
              <a:gd name="connsiteX7" fmla="*/ 95250 w 2514600"/>
              <a:gd name="connsiteY7" fmla="*/ 714375 h 2085975"/>
              <a:gd name="connsiteX8" fmla="*/ 104775 w 2514600"/>
              <a:gd name="connsiteY8" fmla="*/ 742950 h 2085975"/>
              <a:gd name="connsiteX9" fmla="*/ 133350 w 2514600"/>
              <a:gd name="connsiteY9" fmla="*/ 800100 h 2085975"/>
              <a:gd name="connsiteX10" fmla="*/ 200025 w 2514600"/>
              <a:gd name="connsiteY10" fmla="*/ 828675 h 2085975"/>
              <a:gd name="connsiteX11" fmla="*/ 257175 w 2514600"/>
              <a:gd name="connsiteY11" fmla="*/ 942975 h 2085975"/>
              <a:gd name="connsiteX12" fmla="*/ 276225 w 2514600"/>
              <a:gd name="connsiteY12" fmla="*/ 1000125 h 2085975"/>
              <a:gd name="connsiteX13" fmla="*/ 285750 w 2514600"/>
              <a:gd name="connsiteY13" fmla="*/ 1028700 h 2085975"/>
              <a:gd name="connsiteX14" fmla="*/ 342900 w 2514600"/>
              <a:gd name="connsiteY14" fmla="*/ 1066800 h 2085975"/>
              <a:gd name="connsiteX15" fmla="*/ 361950 w 2514600"/>
              <a:gd name="connsiteY15" fmla="*/ 1095375 h 2085975"/>
              <a:gd name="connsiteX16" fmla="*/ 419100 w 2514600"/>
              <a:gd name="connsiteY16" fmla="*/ 1114425 h 2085975"/>
              <a:gd name="connsiteX17" fmla="*/ 447675 w 2514600"/>
              <a:gd name="connsiteY17" fmla="*/ 1133475 h 2085975"/>
              <a:gd name="connsiteX18" fmla="*/ 533400 w 2514600"/>
              <a:gd name="connsiteY18" fmla="*/ 1152525 h 2085975"/>
              <a:gd name="connsiteX19" fmla="*/ 571500 w 2514600"/>
              <a:gd name="connsiteY19" fmla="*/ 1162050 h 2085975"/>
              <a:gd name="connsiteX20" fmla="*/ 590550 w 2514600"/>
              <a:gd name="connsiteY20" fmla="*/ 1190625 h 2085975"/>
              <a:gd name="connsiteX21" fmla="*/ 771525 w 2514600"/>
              <a:gd name="connsiteY21" fmla="*/ 1228725 h 2085975"/>
              <a:gd name="connsiteX22" fmla="*/ 857250 w 2514600"/>
              <a:gd name="connsiteY22" fmla="*/ 1276350 h 2085975"/>
              <a:gd name="connsiteX23" fmla="*/ 885825 w 2514600"/>
              <a:gd name="connsiteY23" fmla="*/ 1285875 h 2085975"/>
              <a:gd name="connsiteX24" fmla="*/ 990600 w 2514600"/>
              <a:gd name="connsiteY24" fmla="*/ 1314450 h 2085975"/>
              <a:gd name="connsiteX25" fmla="*/ 1047750 w 2514600"/>
              <a:gd name="connsiteY25" fmla="*/ 1352550 h 2085975"/>
              <a:gd name="connsiteX26" fmla="*/ 1209675 w 2514600"/>
              <a:gd name="connsiteY26" fmla="*/ 1381125 h 2085975"/>
              <a:gd name="connsiteX27" fmla="*/ 1200150 w 2514600"/>
              <a:gd name="connsiteY27" fmla="*/ 1466850 h 2085975"/>
              <a:gd name="connsiteX28" fmla="*/ 1190625 w 2514600"/>
              <a:gd name="connsiteY28" fmla="*/ 1504950 h 2085975"/>
              <a:gd name="connsiteX29" fmla="*/ 1209675 w 2514600"/>
              <a:gd name="connsiteY29" fmla="*/ 2085975 h 2085975"/>
              <a:gd name="connsiteX30" fmla="*/ 1247775 w 2514600"/>
              <a:gd name="connsiteY30" fmla="*/ 2076450 h 2085975"/>
              <a:gd name="connsiteX31" fmla="*/ 1276350 w 2514600"/>
              <a:gd name="connsiteY31" fmla="*/ 2066925 h 2085975"/>
              <a:gd name="connsiteX32" fmla="*/ 1371600 w 2514600"/>
              <a:gd name="connsiteY32" fmla="*/ 2076450 h 2085975"/>
              <a:gd name="connsiteX33" fmla="*/ 1571625 w 2514600"/>
              <a:gd name="connsiteY33" fmla="*/ 2066925 h 2085975"/>
              <a:gd name="connsiteX34" fmla="*/ 1600200 w 2514600"/>
              <a:gd name="connsiteY34" fmla="*/ 2057400 h 2085975"/>
              <a:gd name="connsiteX35" fmla="*/ 1666875 w 2514600"/>
              <a:gd name="connsiteY35" fmla="*/ 2047875 h 2085975"/>
              <a:gd name="connsiteX36" fmla="*/ 1752600 w 2514600"/>
              <a:gd name="connsiteY36" fmla="*/ 2009775 h 2085975"/>
              <a:gd name="connsiteX37" fmla="*/ 1800225 w 2514600"/>
              <a:gd name="connsiteY37" fmla="*/ 1924050 h 2085975"/>
              <a:gd name="connsiteX38" fmla="*/ 1809750 w 2514600"/>
              <a:gd name="connsiteY38" fmla="*/ 1876425 h 2085975"/>
              <a:gd name="connsiteX39" fmla="*/ 1800225 w 2514600"/>
              <a:gd name="connsiteY39" fmla="*/ 1762125 h 2085975"/>
              <a:gd name="connsiteX40" fmla="*/ 1828800 w 2514600"/>
              <a:gd name="connsiteY40" fmla="*/ 1752600 h 2085975"/>
              <a:gd name="connsiteX41" fmla="*/ 1876425 w 2514600"/>
              <a:gd name="connsiteY41" fmla="*/ 1733550 h 2085975"/>
              <a:gd name="connsiteX42" fmla="*/ 1905000 w 2514600"/>
              <a:gd name="connsiteY42" fmla="*/ 1704975 h 2085975"/>
              <a:gd name="connsiteX43" fmla="*/ 1914525 w 2514600"/>
              <a:gd name="connsiteY43" fmla="*/ 1666875 h 2085975"/>
              <a:gd name="connsiteX44" fmla="*/ 1933575 w 2514600"/>
              <a:gd name="connsiteY44" fmla="*/ 1609725 h 2085975"/>
              <a:gd name="connsiteX45" fmla="*/ 2000250 w 2514600"/>
              <a:gd name="connsiteY45" fmla="*/ 1581150 h 2085975"/>
              <a:gd name="connsiteX46" fmla="*/ 2028825 w 2514600"/>
              <a:gd name="connsiteY46" fmla="*/ 1562100 h 2085975"/>
              <a:gd name="connsiteX47" fmla="*/ 2066925 w 2514600"/>
              <a:gd name="connsiteY47" fmla="*/ 1543050 h 2085975"/>
              <a:gd name="connsiteX48" fmla="*/ 2085975 w 2514600"/>
              <a:gd name="connsiteY48" fmla="*/ 1514475 h 2085975"/>
              <a:gd name="connsiteX49" fmla="*/ 2076450 w 2514600"/>
              <a:gd name="connsiteY49" fmla="*/ 1409700 h 2085975"/>
              <a:gd name="connsiteX50" fmla="*/ 2047875 w 2514600"/>
              <a:gd name="connsiteY50" fmla="*/ 1390650 h 2085975"/>
              <a:gd name="connsiteX51" fmla="*/ 1895475 w 2514600"/>
              <a:gd name="connsiteY51" fmla="*/ 1362075 h 2085975"/>
              <a:gd name="connsiteX52" fmla="*/ 1876425 w 2514600"/>
              <a:gd name="connsiteY52" fmla="*/ 1333500 h 2085975"/>
              <a:gd name="connsiteX53" fmla="*/ 1952625 w 2514600"/>
              <a:gd name="connsiteY53" fmla="*/ 1333500 h 2085975"/>
              <a:gd name="connsiteX54" fmla="*/ 1981200 w 2514600"/>
              <a:gd name="connsiteY54" fmla="*/ 1352550 h 2085975"/>
              <a:gd name="connsiteX55" fmla="*/ 2038350 w 2514600"/>
              <a:gd name="connsiteY55" fmla="*/ 1333500 h 2085975"/>
              <a:gd name="connsiteX56" fmla="*/ 2124075 w 2514600"/>
              <a:gd name="connsiteY56" fmla="*/ 1314450 h 2085975"/>
              <a:gd name="connsiteX57" fmla="*/ 2152650 w 2514600"/>
              <a:gd name="connsiteY57" fmla="*/ 1285875 h 2085975"/>
              <a:gd name="connsiteX58" fmla="*/ 2181225 w 2514600"/>
              <a:gd name="connsiteY58" fmla="*/ 1276350 h 2085975"/>
              <a:gd name="connsiteX59" fmla="*/ 2190750 w 2514600"/>
              <a:gd name="connsiteY59" fmla="*/ 1247775 h 2085975"/>
              <a:gd name="connsiteX60" fmla="*/ 2209800 w 2514600"/>
              <a:gd name="connsiteY60" fmla="*/ 1219200 h 2085975"/>
              <a:gd name="connsiteX61" fmla="*/ 2228850 w 2514600"/>
              <a:gd name="connsiteY61" fmla="*/ 1143000 h 2085975"/>
              <a:gd name="connsiteX62" fmla="*/ 2238375 w 2514600"/>
              <a:gd name="connsiteY62" fmla="*/ 1114425 h 2085975"/>
              <a:gd name="connsiteX63" fmla="*/ 2228850 w 2514600"/>
              <a:gd name="connsiteY63" fmla="*/ 1038225 h 2085975"/>
              <a:gd name="connsiteX64" fmla="*/ 2181225 w 2514600"/>
              <a:gd name="connsiteY64" fmla="*/ 1047750 h 2085975"/>
              <a:gd name="connsiteX65" fmla="*/ 2124075 w 2514600"/>
              <a:gd name="connsiteY65" fmla="*/ 1066800 h 2085975"/>
              <a:gd name="connsiteX66" fmla="*/ 2095500 w 2514600"/>
              <a:gd name="connsiteY66" fmla="*/ 1047750 h 2085975"/>
              <a:gd name="connsiteX67" fmla="*/ 2076450 w 2514600"/>
              <a:gd name="connsiteY67" fmla="*/ 1019175 h 2085975"/>
              <a:gd name="connsiteX68" fmla="*/ 2047875 w 2514600"/>
              <a:gd name="connsiteY68" fmla="*/ 1009650 h 2085975"/>
              <a:gd name="connsiteX69" fmla="*/ 2028825 w 2514600"/>
              <a:gd name="connsiteY69" fmla="*/ 981075 h 2085975"/>
              <a:gd name="connsiteX70" fmla="*/ 2038350 w 2514600"/>
              <a:gd name="connsiteY70" fmla="*/ 952500 h 2085975"/>
              <a:gd name="connsiteX71" fmla="*/ 2057400 w 2514600"/>
              <a:gd name="connsiteY71" fmla="*/ 1009650 h 2085975"/>
              <a:gd name="connsiteX72" fmla="*/ 2085975 w 2514600"/>
              <a:gd name="connsiteY72" fmla="*/ 1028700 h 2085975"/>
              <a:gd name="connsiteX73" fmla="*/ 2124075 w 2514600"/>
              <a:gd name="connsiteY73" fmla="*/ 1019175 h 2085975"/>
              <a:gd name="connsiteX74" fmla="*/ 2209800 w 2514600"/>
              <a:gd name="connsiteY74" fmla="*/ 1009650 h 2085975"/>
              <a:gd name="connsiteX75" fmla="*/ 2228850 w 2514600"/>
              <a:gd name="connsiteY75" fmla="*/ 981075 h 2085975"/>
              <a:gd name="connsiteX76" fmla="*/ 2238375 w 2514600"/>
              <a:gd name="connsiteY76" fmla="*/ 933450 h 2085975"/>
              <a:gd name="connsiteX77" fmla="*/ 2228850 w 2514600"/>
              <a:gd name="connsiteY77" fmla="*/ 866775 h 2085975"/>
              <a:gd name="connsiteX78" fmla="*/ 2257425 w 2514600"/>
              <a:gd name="connsiteY78" fmla="*/ 847725 h 2085975"/>
              <a:gd name="connsiteX79" fmla="*/ 2400300 w 2514600"/>
              <a:gd name="connsiteY79" fmla="*/ 828675 h 2085975"/>
              <a:gd name="connsiteX80" fmla="*/ 2409825 w 2514600"/>
              <a:gd name="connsiteY80" fmla="*/ 781050 h 2085975"/>
              <a:gd name="connsiteX81" fmla="*/ 2438400 w 2514600"/>
              <a:gd name="connsiteY81" fmla="*/ 762000 h 2085975"/>
              <a:gd name="connsiteX82" fmla="*/ 2476500 w 2514600"/>
              <a:gd name="connsiteY82" fmla="*/ 704850 h 2085975"/>
              <a:gd name="connsiteX83" fmla="*/ 2476500 w 2514600"/>
              <a:gd name="connsiteY83" fmla="*/ 704850 h 2085975"/>
              <a:gd name="connsiteX84" fmla="*/ 2486025 w 2514600"/>
              <a:gd name="connsiteY84" fmla="*/ 676275 h 2085975"/>
              <a:gd name="connsiteX85" fmla="*/ 2495550 w 2514600"/>
              <a:gd name="connsiteY85" fmla="*/ 638175 h 2085975"/>
              <a:gd name="connsiteX86" fmla="*/ 2514600 w 2514600"/>
              <a:gd name="connsiteY86" fmla="*/ 600075 h 2085975"/>
              <a:gd name="connsiteX87" fmla="*/ 2486025 w 2514600"/>
              <a:gd name="connsiteY87" fmla="*/ 533400 h 2085975"/>
              <a:gd name="connsiteX88" fmla="*/ 2428875 w 2514600"/>
              <a:gd name="connsiteY88" fmla="*/ 476250 h 2085975"/>
              <a:gd name="connsiteX89" fmla="*/ 2428875 w 2514600"/>
              <a:gd name="connsiteY89" fmla="*/ 342900 h 2085975"/>
              <a:gd name="connsiteX90" fmla="*/ 2371725 w 2514600"/>
              <a:gd name="connsiteY90" fmla="*/ 304800 h 2085975"/>
              <a:gd name="connsiteX91" fmla="*/ 2343150 w 2514600"/>
              <a:gd name="connsiteY91" fmla="*/ 285750 h 2085975"/>
              <a:gd name="connsiteX92" fmla="*/ 2276475 w 2514600"/>
              <a:gd name="connsiteY92" fmla="*/ 266700 h 2085975"/>
              <a:gd name="connsiteX93" fmla="*/ 2238375 w 2514600"/>
              <a:gd name="connsiteY93" fmla="*/ 276225 h 2085975"/>
              <a:gd name="connsiteX94" fmla="*/ 2219325 w 2514600"/>
              <a:gd name="connsiteY94" fmla="*/ 333375 h 2085975"/>
              <a:gd name="connsiteX95" fmla="*/ 2228850 w 2514600"/>
              <a:gd name="connsiteY95" fmla="*/ 533400 h 2085975"/>
              <a:gd name="connsiteX96" fmla="*/ 2228850 w 2514600"/>
              <a:gd name="connsiteY96" fmla="*/ 704850 h 2085975"/>
              <a:gd name="connsiteX97" fmla="*/ 2200275 w 2514600"/>
              <a:gd name="connsiteY97" fmla="*/ 723900 h 2085975"/>
              <a:gd name="connsiteX98" fmla="*/ 2133600 w 2514600"/>
              <a:gd name="connsiteY98" fmla="*/ 714375 h 2085975"/>
              <a:gd name="connsiteX99" fmla="*/ 2114550 w 2514600"/>
              <a:gd name="connsiteY99" fmla="*/ 685800 h 2085975"/>
              <a:gd name="connsiteX100" fmla="*/ 2095500 w 2514600"/>
              <a:gd name="connsiteY100" fmla="*/ 628650 h 2085975"/>
              <a:gd name="connsiteX101" fmla="*/ 2066925 w 2514600"/>
              <a:gd name="connsiteY101" fmla="*/ 504825 h 2085975"/>
              <a:gd name="connsiteX102" fmla="*/ 2038350 w 2514600"/>
              <a:gd name="connsiteY102" fmla="*/ 447675 h 2085975"/>
              <a:gd name="connsiteX103" fmla="*/ 2009775 w 2514600"/>
              <a:gd name="connsiteY103" fmla="*/ 438150 h 2085975"/>
              <a:gd name="connsiteX104" fmla="*/ 1971675 w 2514600"/>
              <a:gd name="connsiteY104" fmla="*/ 447675 h 2085975"/>
              <a:gd name="connsiteX105" fmla="*/ 1962150 w 2514600"/>
              <a:gd name="connsiteY105" fmla="*/ 476250 h 2085975"/>
              <a:gd name="connsiteX106" fmla="*/ 1933575 w 2514600"/>
              <a:gd name="connsiteY106" fmla="*/ 504825 h 2085975"/>
              <a:gd name="connsiteX107" fmla="*/ 1914525 w 2514600"/>
              <a:gd name="connsiteY107" fmla="*/ 561975 h 2085975"/>
              <a:gd name="connsiteX108" fmla="*/ 1876425 w 2514600"/>
              <a:gd name="connsiteY108" fmla="*/ 495300 h 2085975"/>
              <a:gd name="connsiteX109" fmla="*/ 1838325 w 2514600"/>
              <a:gd name="connsiteY109" fmla="*/ 438150 h 2085975"/>
              <a:gd name="connsiteX110" fmla="*/ 1819275 w 2514600"/>
              <a:gd name="connsiteY110" fmla="*/ 409575 h 2085975"/>
              <a:gd name="connsiteX111" fmla="*/ 1771650 w 2514600"/>
              <a:gd name="connsiteY111" fmla="*/ 342900 h 2085975"/>
              <a:gd name="connsiteX112" fmla="*/ 1743075 w 2514600"/>
              <a:gd name="connsiteY112" fmla="*/ 333375 h 2085975"/>
              <a:gd name="connsiteX113" fmla="*/ 1743075 w 2514600"/>
              <a:gd name="connsiteY113" fmla="*/ 228600 h 2085975"/>
              <a:gd name="connsiteX114" fmla="*/ 1724025 w 2514600"/>
              <a:gd name="connsiteY114" fmla="*/ 200025 h 2085975"/>
              <a:gd name="connsiteX115" fmla="*/ 1704975 w 2514600"/>
              <a:gd name="connsiteY115" fmla="*/ 142875 h 2085975"/>
              <a:gd name="connsiteX116" fmla="*/ 1685925 w 2514600"/>
              <a:gd name="connsiteY116" fmla="*/ 85725 h 2085975"/>
              <a:gd name="connsiteX117" fmla="*/ 1657350 w 2514600"/>
              <a:gd name="connsiteY117" fmla="*/ 57150 h 2085975"/>
              <a:gd name="connsiteX118" fmla="*/ 1647825 w 2514600"/>
              <a:gd name="connsiteY118" fmla="*/ 28575 h 2085975"/>
              <a:gd name="connsiteX119" fmla="*/ 1590675 w 2514600"/>
              <a:gd name="connsiteY119" fmla="*/ 0 h 2085975"/>
              <a:gd name="connsiteX120" fmla="*/ 1562100 w 2514600"/>
              <a:gd name="connsiteY120" fmla="*/ 38100 h 2085975"/>
              <a:gd name="connsiteX121" fmla="*/ 1552575 w 2514600"/>
              <a:gd name="connsiteY121" fmla="*/ 66675 h 2085975"/>
              <a:gd name="connsiteX122" fmla="*/ 1524000 w 2514600"/>
              <a:gd name="connsiteY122" fmla="*/ 171450 h 2085975"/>
              <a:gd name="connsiteX123" fmla="*/ 1533525 w 2514600"/>
              <a:gd name="connsiteY123" fmla="*/ 266700 h 2085975"/>
              <a:gd name="connsiteX124" fmla="*/ 1562100 w 2514600"/>
              <a:gd name="connsiteY124" fmla="*/ 295275 h 2085975"/>
              <a:gd name="connsiteX125" fmla="*/ 1581150 w 2514600"/>
              <a:gd name="connsiteY125" fmla="*/ 323850 h 2085975"/>
              <a:gd name="connsiteX126" fmla="*/ 1609725 w 2514600"/>
              <a:gd name="connsiteY126" fmla="*/ 381000 h 2085975"/>
              <a:gd name="connsiteX127" fmla="*/ 1638300 w 2514600"/>
              <a:gd name="connsiteY127" fmla="*/ 400050 h 2085975"/>
              <a:gd name="connsiteX128" fmla="*/ 1685925 w 2514600"/>
              <a:gd name="connsiteY128" fmla="*/ 457200 h 2085975"/>
              <a:gd name="connsiteX129" fmla="*/ 1676400 w 2514600"/>
              <a:gd name="connsiteY129" fmla="*/ 514350 h 2085975"/>
              <a:gd name="connsiteX130" fmla="*/ 1666875 w 2514600"/>
              <a:gd name="connsiteY130" fmla="*/ 619125 h 2085975"/>
              <a:gd name="connsiteX131" fmla="*/ 1657350 w 2514600"/>
              <a:gd name="connsiteY131" fmla="*/ 647700 h 2085975"/>
              <a:gd name="connsiteX132" fmla="*/ 1628775 w 2514600"/>
              <a:gd name="connsiteY132" fmla="*/ 657225 h 2085975"/>
              <a:gd name="connsiteX133" fmla="*/ 1543050 w 2514600"/>
              <a:gd name="connsiteY133" fmla="*/ 647700 h 2085975"/>
              <a:gd name="connsiteX134" fmla="*/ 1552575 w 2514600"/>
              <a:gd name="connsiteY134" fmla="*/ 609600 h 2085975"/>
              <a:gd name="connsiteX135" fmla="*/ 1543050 w 2514600"/>
              <a:gd name="connsiteY135" fmla="*/ 476250 h 2085975"/>
              <a:gd name="connsiteX136" fmla="*/ 1504950 w 2514600"/>
              <a:gd name="connsiteY136" fmla="*/ 419100 h 2085975"/>
              <a:gd name="connsiteX137" fmla="*/ 1466850 w 2514600"/>
              <a:gd name="connsiteY137" fmla="*/ 409575 h 2085975"/>
              <a:gd name="connsiteX138" fmla="*/ 1438275 w 2514600"/>
              <a:gd name="connsiteY138" fmla="*/ 400050 h 2085975"/>
              <a:gd name="connsiteX139" fmla="*/ 1371600 w 2514600"/>
              <a:gd name="connsiteY139" fmla="*/ 409575 h 2085975"/>
              <a:gd name="connsiteX140" fmla="*/ 1362075 w 2514600"/>
              <a:gd name="connsiteY140" fmla="*/ 438150 h 2085975"/>
              <a:gd name="connsiteX141" fmla="*/ 1371600 w 2514600"/>
              <a:gd name="connsiteY141" fmla="*/ 504825 h 2085975"/>
              <a:gd name="connsiteX142" fmla="*/ 1409700 w 2514600"/>
              <a:gd name="connsiteY142" fmla="*/ 561975 h 2085975"/>
              <a:gd name="connsiteX143" fmla="*/ 1447800 w 2514600"/>
              <a:gd name="connsiteY143" fmla="*/ 619125 h 2085975"/>
              <a:gd name="connsiteX144" fmla="*/ 1438275 w 2514600"/>
              <a:gd name="connsiteY144" fmla="*/ 676275 h 2085975"/>
              <a:gd name="connsiteX145" fmla="*/ 1381125 w 2514600"/>
              <a:gd name="connsiteY145" fmla="*/ 695325 h 2085975"/>
              <a:gd name="connsiteX146" fmla="*/ 1171575 w 2514600"/>
              <a:gd name="connsiteY146" fmla="*/ 676275 h 2085975"/>
              <a:gd name="connsiteX147" fmla="*/ 1066800 w 2514600"/>
              <a:gd name="connsiteY147" fmla="*/ 685800 h 2085975"/>
              <a:gd name="connsiteX148" fmla="*/ 1038225 w 2514600"/>
              <a:gd name="connsiteY148" fmla="*/ 695325 h 2085975"/>
              <a:gd name="connsiteX149" fmla="*/ 1009650 w 2514600"/>
              <a:gd name="connsiteY149" fmla="*/ 685800 h 2085975"/>
              <a:gd name="connsiteX150" fmla="*/ 962025 w 2514600"/>
              <a:gd name="connsiteY150" fmla="*/ 600075 h 2085975"/>
              <a:gd name="connsiteX151" fmla="*/ 952500 w 2514600"/>
              <a:gd name="connsiteY151" fmla="*/ 561975 h 2085975"/>
              <a:gd name="connsiteX152" fmla="*/ 942975 w 2514600"/>
              <a:gd name="connsiteY152" fmla="*/ 533400 h 2085975"/>
              <a:gd name="connsiteX153" fmla="*/ 923925 w 2514600"/>
              <a:gd name="connsiteY153" fmla="*/ 504825 h 2085975"/>
              <a:gd name="connsiteX154" fmla="*/ 876300 w 2514600"/>
              <a:gd name="connsiteY154" fmla="*/ 514350 h 2085975"/>
              <a:gd name="connsiteX155" fmla="*/ 847725 w 2514600"/>
              <a:gd name="connsiteY155" fmla="*/ 523875 h 2085975"/>
              <a:gd name="connsiteX156" fmla="*/ 828675 w 2514600"/>
              <a:gd name="connsiteY156" fmla="*/ 581025 h 2085975"/>
              <a:gd name="connsiteX157" fmla="*/ 790575 w 2514600"/>
              <a:gd name="connsiteY157" fmla="*/ 666750 h 2085975"/>
              <a:gd name="connsiteX158" fmla="*/ 771525 w 2514600"/>
              <a:gd name="connsiteY158" fmla="*/ 695325 h 2085975"/>
              <a:gd name="connsiteX159" fmla="*/ 781050 w 2514600"/>
              <a:gd name="connsiteY159" fmla="*/ 723900 h 2085975"/>
              <a:gd name="connsiteX160" fmla="*/ 809625 w 2514600"/>
              <a:gd name="connsiteY160" fmla="*/ 714375 h 2085975"/>
              <a:gd name="connsiteX161" fmla="*/ 857250 w 2514600"/>
              <a:gd name="connsiteY161" fmla="*/ 704850 h 2085975"/>
              <a:gd name="connsiteX162" fmla="*/ 847725 w 2514600"/>
              <a:gd name="connsiteY162" fmla="*/ 742950 h 2085975"/>
              <a:gd name="connsiteX163" fmla="*/ 790575 w 2514600"/>
              <a:gd name="connsiteY163" fmla="*/ 790575 h 2085975"/>
              <a:gd name="connsiteX164" fmla="*/ 723900 w 2514600"/>
              <a:gd name="connsiteY164" fmla="*/ 762000 h 2085975"/>
              <a:gd name="connsiteX165" fmla="*/ 676275 w 2514600"/>
              <a:gd name="connsiteY165" fmla="*/ 723900 h 2085975"/>
              <a:gd name="connsiteX166" fmla="*/ 657225 w 2514600"/>
              <a:gd name="connsiteY166" fmla="*/ 695325 h 2085975"/>
              <a:gd name="connsiteX167" fmla="*/ 600075 w 2514600"/>
              <a:gd name="connsiteY167" fmla="*/ 657225 h 2085975"/>
              <a:gd name="connsiteX168" fmla="*/ 476250 w 2514600"/>
              <a:gd name="connsiteY168" fmla="*/ 638175 h 2085975"/>
              <a:gd name="connsiteX169" fmla="*/ 447675 w 2514600"/>
              <a:gd name="connsiteY169" fmla="*/ 628650 h 2085975"/>
              <a:gd name="connsiteX170" fmla="*/ 352425 w 2514600"/>
              <a:gd name="connsiteY170" fmla="*/ 609600 h 2085975"/>
              <a:gd name="connsiteX171" fmla="*/ 323850 w 2514600"/>
              <a:gd name="connsiteY171" fmla="*/ 590550 h 2085975"/>
              <a:gd name="connsiteX172" fmla="*/ 314325 w 2514600"/>
              <a:gd name="connsiteY172" fmla="*/ 561975 h 2085975"/>
              <a:gd name="connsiteX173" fmla="*/ 323850 w 2514600"/>
              <a:gd name="connsiteY173" fmla="*/ 523875 h 2085975"/>
              <a:gd name="connsiteX174" fmla="*/ 381000 w 2514600"/>
              <a:gd name="connsiteY174" fmla="*/ 495300 h 2085975"/>
              <a:gd name="connsiteX175" fmla="*/ 371475 w 2514600"/>
              <a:gd name="connsiteY175" fmla="*/ 419100 h 2085975"/>
              <a:gd name="connsiteX176" fmla="*/ 276225 w 2514600"/>
              <a:gd name="connsiteY176" fmla="*/ 400050 h 2085975"/>
              <a:gd name="connsiteX177" fmla="*/ 161925 w 2514600"/>
              <a:gd name="connsiteY177" fmla="*/ 323850 h 2085975"/>
              <a:gd name="connsiteX178" fmla="*/ 133350 w 2514600"/>
              <a:gd name="connsiteY178" fmla="*/ 314325 h 2085975"/>
              <a:gd name="connsiteX179" fmla="*/ 76200 w 2514600"/>
              <a:gd name="connsiteY179" fmla="*/ 276225 h 2085975"/>
              <a:gd name="connsiteX180" fmla="*/ 47625 w 2514600"/>
              <a:gd name="connsiteY180" fmla="*/ 257175 h 2085975"/>
              <a:gd name="connsiteX181" fmla="*/ 19050 w 2514600"/>
              <a:gd name="connsiteY181" fmla="*/ 228600 h 2085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Lst>
            <a:rect l="l" t="t" r="r" b="b"/>
            <a:pathLst>
              <a:path w="2514600" h="2085975">
                <a:moveTo>
                  <a:pt x="19050" y="228600"/>
                </a:moveTo>
                <a:cubicBezTo>
                  <a:pt x="11799" y="264855"/>
                  <a:pt x="0" y="317826"/>
                  <a:pt x="0" y="352425"/>
                </a:cubicBezTo>
                <a:cubicBezTo>
                  <a:pt x="0" y="387494"/>
                  <a:pt x="4565" y="422483"/>
                  <a:pt x="9525" y="457200"/>
                </a:cubicBezTo>
                <a:cubicBezTo>
                  <a:pt x="10945" y="467139"/>
                  <a:pt x="14174" y="476998"/>
                  <a:pt x="19050" y="485775"/>
                </a:cubicBezTo>
                <a:cubicBezTo>
                  <a:pt x="30169" y="505789"/>
                  <a:pt x="57150" y="542925"/>
                  <a:pt x="57150" y="542925"/>
                </a:cubicBezTo>
                <a:cubicBezTo>
                  <a:pt x="60325" y="571500"/>
                  <a:pt x="61036" y="600457"/>
                  <a:pt x="66675" y="628650"/>
                </a:cubicBezTo>
                <a:cubicBezTo>
                  <a:pt x="70613" y="648341"/>
                  <a:pt x="79375" y="666750"/>
                  <a:pt x="85725" y="685800"/>
                </a:cubicBezTo>
                <a:lnTo>
                  <a:pt x="95250" y="714375"/>
                </a:lnTo>
                <a:lnTo>
                  <a:pt x="104775" y="742950"/>
                </a:lnTo>
                <a:cubicBezTo>
                  <a:pt x="112522" y="766191"/>
                  <a:pt x="114886" y="781636"/>
                  <a:pt x="133350" y="800100"/>
                </a:cubicBezTo>
                <a:cubicBezTo>
                  <a:pt x="155276" y="822026"/>
                  <a:pt x="170878" y="821388"/>
                  <a:pt x="200025" y="828675"/>
                </a:cubicBezTo>
                <a:cubicBezTo>
                  <a:pt x="226315" y="907545"/>
                  <a:pt x="207936" y="869117"/>
                  <a:pt x="257175" y="942975"/>
                </a:cubicBezTo>
                <a:cubicBezTo>
                  <a:pt x="268314" y="959683"/>
                  <a:pt x="269875" y="981075"/>
                  <a:pt x="276225" y="1000125"/>
                </a:cubicBezTo>
                <a:cubicBezTo>
                  <a:pt x="279400" y="1009650"/>
                  <a:pt x="277396" y="1023131"/>
                  <a:pt x="285750" y="1028700"/>
                </a:cubicBezTo>
                <a:lnTo>
                  <a:pt x="342900" y="1066800"/>
                </a:lnTo>
                <a:cubicBezTo>
                  <a:pt x="349250" y="1076325"/>
                  <a:pt x="352242" y="1089308"/>
                  <a:pt x="361950" y="1095375"/>
                </a:cubicBezTo>
                <a:cubicBezTo>
                  <a:pt x="378978" y="1106018"/>
                  <a:pt x="419100" y="1114425"/>
                  <a:pt x="419100" y="1114425"/>
                </a:cubicBezTo>
                <a:cubicBezTo>
                  <a:pt x="428625" y="1120775"/>
                  <a:pt x="437436" y="1128355"/>
                  <a:pt x="447675" y="1133475"/>
                </a:cubicBezTo>
                <a:cubicBezTo>
                  <a:pt x="472391" y="1145833"/>
                  <a:pt x="509011" y="1147647"/>
                  <a:pt x="533400" y="1152525"/>
                </a:cubicBezTo>
                <a:cubicBezTo>
                  <a:pt x="546237" y="1155092"/>
                  <a:pt x="558800" y="1158875"/>
                  <a:pt x="571500" y="1162050"/>
                </a:cubicBezTo>
                <a:cubicBezTo>
                  <a:pt x="577850" y="1171575"/>
                  <a:pt x="585430" y="1180386"/>
                  <a:pt x="590550" y="1190625"/>
                </a:cubicBezTo>
                <a:cubicBezTo>
                  <a:pt x="632383" y="1274290"/>
                  <a:pt x="509056" y="1214143"/>
                  <a:pt x="771525" y="1228725"/>
                </a:cubicBezTo>
                <a:cubicBezTo>
                  <a:pt x="821820" y="1245490"/>
                  <a:pt x="791746" y="1232681"/>
                  <a:pt x="857250" y="1276350"/>
                </a:cubicBezTo>
                <a:cubicBezTo>
                  <a:pt x="865604" y="1281919"/>
                  <a:pt x="876139" y="1283233"/>
                  <a:pt x="885825" y="1285875"/>
                </a:cubicBezTo>
                <a:cubicBezTo>
                  <a:pt x="1003993" y="1318103"/>
                  <a:pt x="924828" y="1292526"/>
                  <a:pt x="990600" y="1314450"/>
                </a:cubicBezTo>
                <a:cubicBezTo>
                  <a:pt x="1009650" y="1327150"/>
                  <a:pt x="1026030" y="1345310"/>
                  <a:pt x="1047750" y="1352550"/>
                </a:cubicBezTo>
                <a:cubicBezTo>
                  <a:pt x="1138169" y="1382690"/>
                  <a:pt x="1084902" y="1369782"/>
                  <a:pt x="1209675" y="1381125"/>
                </a:cubicBezTo>
                <a:cubicBezTo>
                  <a:pt x="1206500" y="1409700"/>
                  <a:pt x="1204522" y="1438433"/>
                  <a:pt x="1200150" y="1466850"/>
                </a:cubicBezTo>
                <a:cubicBezTo>
                  <a:pt x="1198159" y="1479789"/>
                  <a:pt x="1190625" y="1491859"/>
                  <a:pt x="1190625" y="1504950"/>
                </a:cubicBezTo>
                <a:cubicBezTo>
                  <a:pt x="1190625" y="1717622"/>
                  <a:pt x="1199989" y="1882561"/>
                  <a:pt x="1209675" y="2085975"/>
                </a:cubicBezTo>
                <a:cubicBezTo>
                  <a:pt x="1222375" y="2082800"/>
                  <a:pt x="1235188" y="2080046"/>
                  <a:pt x="1247775" y="2076450"/>
                </a:cubicBezTo>
                <a:cubicBezTo>
                  <a:pt x="1257429" y="2073692"/>
                  <a:pt x="1266310" y="2066925"/>
                  <a:pt x="1276350" y="2066925"/>
                </a:cubicBezTo>
                <a:cubicBezTo>
                  <a:pt x="1308258" y="2066925"/>
                  <a:pt x="1339850" y="2073275"/>
                  <a:pt x="1371600" y="2076450"/>
                </a:cubicBezTo>
                <a:cubicBezTo>
                  <a:pt x="1438275" y="2073275"/>
                  <a:pt x="1505105" y="2072468"/>
                  <a:pt x="1571625" y="2066925"/>
                </a:cubicBezTo>
                <a:cubicBezTo>
                  <a:pt x="1581631" y="2066091"/>
                  <a:pt x="1590355" y="2059369"/>
                  <a:pt x="1600200" y="2057400"/>
                </a:cubicBezTo>
                <a:cubicBezTo>
                  <a:pt x="1622215" y="2052997"/>
                  <a:pt x="1644650" y="2051050"/>
                  <a:pt x="1666875" y="2047875"/>
                </a:cubicBezTo>
                <a:cubicBezTo>
                  <a:pt x="1734885" y="2025205"/>
                  <a:pt x="1707317" y="2039964"/>
                  <a:pt x="1752600" y="2009775"/>
                </a:cubicBezTo>
                <a:cubicBezTo>
                  <a:pt x="1780977" y="1967209"/>
                  <a:pt x="1790166" y="1964286"/>
                  <a:pt x="1800225" y="1924050"/>
                </a:cubicBezTo>
                <a:cubicBezTo>
                  <a:pt x="1804152" y="1908344"/>
                  <a:pt x="1806575" y="1892300"/>
                  <a:pt x="1809750" y="1876425"/>
                </a:cubicBezTo>
                <a:cubicBezTo>
                  <a:pt x="1806575" y="1838325"/>
                  <a:pt x="1794412" y="1799912"/>
                  <a:pt x="1800225" y="1762125"/>
                </a:cubicBezTo>
                <a:cubicBezTo>
                  <a:pt x="1801752" y="1752202"/>
                  <a:pt x="1819399" y="1756125"/>
                  <a:pt x="1828800" y="1752600"/>
                </a:cubicBezTo>
                <a:cubicBezTo>
                  <a:pt x="1844809" y="1746597"/>
                  <a:pt x="1860550" y="1739900"/>
                  <a:pt x="1876425" y="1733550"/>
                </a:cubicBezTo>
                <a:cubicBezTo>
                  <a:pt x="1885950" y="1724025"/>
                  <a:pt x="1898317" y="1716671"/>
                  <a:pt x="1905000" y="1704975"/>
                </a:cubicBezTo>
                <a:cubicBezTo>
                  <a:pt x="1911495" y="1693609"/>
                  <a:pt x="1910763" y="1679414"/>
                  <a:pt x="1914525" y="1666875"/>
                </a:cubicBezTo>
                <a:cubicBezTo>
                  <a:pt x="1920295" y="1647641"/>
                  <a:pt x="1927225" y="1628775"/>
                  <a:pt x="1933575" y="1609725"/>
                </a:cubicBezTo>
                <a:cubicBezTo>
                  <a:pt x="1939555" y="1591785"/>
                  <a:pt x="1989338" y="1583878"/>
                  <a:pt x="2000250" y="1581150"/>
                </a:cubicBezTo>
                <a:cubicBezTo>
                  <a:pt x="2009775" y="1574800"/>
                  <a:pt x="2018886" y="1567780"/>
                  <a:pt x="2028825" y="1562100"/>
                </a:cubicBezTo>
                <a:cubicBezTo>
                  <a:pt x="2041153" y="1555055"/>
                  <a:pt x="2056017" y="1552140"/>
                  <a:pt x="2066925" y="1543050"/>
                </a:cubicBezTo>
                <a:cubicBezTo>
                  <a:pt x="2075719" y="1535721"/>
                  <a:pt x="2079625" y="1524000"/>
                  <a:pt x="2085975" y="1514475"/>
                </a:cubicBezTo>
                <a:cubicBezTo>
                  <a:pt x="2082800" y="1479550"/>
                  <a:pt x="2086763" y="1443218"/>
                  <a:pt x="2076450" y="1409700"/>
                </a:cubicBezTo>
                <a:cubicBezTo>
                  <a:pt x="2073083" y="1398759"/>
                  <a:pt x="2058336" y="1395299"/>
                  <a:pt x="2047875" y="1390650"/>
                </a:cubicBezTo>
                <a:cubicBezTo>
                  <a:pt x="1988654" y="1364330"/>
                  <a:pt x="1965895" y="1369117"/>
                  <a:pt x="1895475" y="1362075"/>
                </a:cubicBezTo>
                <a:cubicBezTo>
                  <a:pt x="1889125" y="1352550"/>
                  <a:pt x="1869556" y="1342658"/>
                  <a:pt x="1876425" y="1333500"/>
                </a:cubicBezTo>
                <a:cubicBezTo>
                  <a:pt x="1894815" y="1308979"/>
                  <a:pt x="1932928" y="1326934"/>
                  <a:pt x="1952625" y="1333500"/>
                </a:cubicBezTo>
                <a:cubicBezTo>
                  <a:pt x="1962150" y="1339850"/>
                  <a:pt x="1969752" y="1352550"/>
                  <a:pt x="1981200" y="1352550"/>
                </a:cubicBezTo>
                <a:cubicBezTo>
                  <a:pt x="2001280" y="1352550"/>
                  <a:pt x="2019300" y="1339850"/>
                  <a:pt x="2038350" y="1333500"/>
                </a:cubicBezTo>
                <a:cubicBezTo>
                  <a:pt x="2085247" y="1317868"/>
                  <a:pt x="2057021" y="1325626"/>
                  <a:pt x="2124075" y="1314450"/>
                </a:cubicBezTo>
                <a:cubicBezTo>
                  <a:pt x="2133600" y="1304925"/>
                  <a:pt x="2141442" y="1293347"/>
                  <a:pt x="2152650" y="1285875"/>
                </a:cubicBezTo>
                <a:cubicBezTo>
                  <a:pt x="2161004" y="1280306"/>
                  <a:pt x="2174125" y="1283450"/>
                  <a:pt x="2181225" y="1276350"/>
                </a:cubicBezTo>
                <a:cubicBezTo>
                  <a:pt x="2188325" y="1269250"/>
                  <a:pt x="2186260" y="1256755"/>
                  <a:pt x="2190750" y="1247775"/>
                </a:cubicBezTo>
                <a:cubicBezTo>
                  <a:pt x="2195870" y="1237536"/>
                  <a:pt x="2204680" y="1229439"/>
                  <a:pt x="2209800" y="1219200"/>
                </a:cubicBezTo>
                <a:cubicBezTo>
                  <a:pt x="2220686" y="1197427"/>
                  <a:pt x="2223416" y="1164737"/>
                  <a:pt x="2228850" y="1143000"/>
                </a:cubicBezTo>
                <a:cubicBezTo>
                  <a:pt x="2231285" y="1133260"/>
                  <a:pt x="2235200" y="1123950"/>
                  <a:pt x="2238375" y="1114425"/>
                </a:cubicBezTo>
                <a:cubicBezTo>
                  <a:pt x="2235200" y="1089025"/>
                  <a:pt x="2245509" y="1057660"/>
                  <a:pt x="2228850" y="1038225"/>
                </a:cubicBezTo>
                <a:cubicBezTo>
                  <a:pt x="2218314" y="1025933"/>
                  <a:pt x="2196844" y="1043490"/>
                  <a:pt x="2181225" y="1047750"/>
                </a:cubicBezTo>
                <a:cubicBezTo>
                  <a:pt x="2161852" y="1053034"/>
                  <a:pt x="2124075" y="1066800"/>
                  <a:pt x="2124075" y="1066800"/>
                </a:cubicBezTo>
                <a:cubicBezTo>
                  <a:pt x="2114550" y="1060450"/>
                  <a:pt x="2103595" y="1055845"/>
                  <a:pt x="2095500" y="1047750"/>
                </a:cubicBezTo>
                <a:cubicBezTo>
                  <a:pt x="2087405" y="1039655"/>
                  <a:pt x="2085389" y="1026326"/>
                  <a:pt x="2076450" y="1019175"/>
                </a:cubicBezTo>
                <a:cubicBezTo>
                  <a:pt x="2068610" y="1012903"/>
                  <a:pt x="2057400" y="1012825"/>
                  <a:pt x="2047875" y="1009650"/>
                </a:cubicBezTo>
                <a:cubicBezTo>
                  <a:pt x="2041525" y="1000125"/>
                  <a:pt x="2030707" y="992367"/>
                  <a:pt x="2028825" y="981075"/>
                </a:cubicBezTo>
                <a:cubicBezTo>
                  <a:pt x="2027174" y="971171"/>
                  <a:pt x="2031250" y="945400"/>
                  <a:pt x="2038350" y="952500"/>
                </a:cubicBezTo>
                <a:cubicBezTo>
                  <a:pt x="2052549" y="966699"/>
                  <a:pt x="2040692" y="998511"/>
                  <a:pt x="2057400" y="1009650"/>
                </a:cubicBezTo>
                <a:lnTo>
                  <a:pt x="2085975" y="1028700"/>
                </a:lnTo>
                <a:cubicBezTo>
                  <a:pt x="2098675" y="1025525"/>
                  <a:pt x="2111136" y="1021166"/>
                  <a:pt x="2124075" y="1019175"/>
                </a:cubicBezTo>
                <a:cubicBezTo>
                  <a:pt x="2152492" y="1014803"/>
                  <a:pt x="2182780" y="1019475"/>
                  <a:pt x="2209800" y="1009650"/>
                </a:cubicBezTo>
                <a:cubicBezTo>
                  <a:pt x="2220558" y="1005738"/>
                  <a:pt x="2222500" y="990600"/>
                  <a:pt x="2228850" y="981075"/>
                </a:cubicBezTo>
                <a:cubicBezTo>
                  <a:pt x="2232025" y="965200"/>
                  <a:pt x="2238375" y="949639"/>
                  <a:pt x="2238375" y="933450"/>
                </a:cubicBezTo>
                <a:cubicBezTo>
                  <a:pt x="2238375" y="910999"/>
                  <a:pt x="2223980" y="888691"/>
                  <a:pt x="2228850" y="866775"/>
                </a:cubicBezTo>
                <a:cubicBezTo>
                  <a:pt x="2231333" y="855600"/>
                  <a:pt x="2246460" y="851014"/>
                  <a:pt x="2257425" y="847725"/>
                </a:cubicBezTo>
                <a:cubicBezTo>
                  <a:pt x="2266814" y="844908"/>
                  <a:pt x="2396031" y="829209"/>
                  <a:pt x="2400300" y="828675"/>
                </a:cubicBezTo>
                <a:cubicBezTo>
                  <a:pt x="2403475" y="812800"/>
                  <a:pt x="2401793" y="795106"/>
                  <a:pt x="2409825" y="781050"/>
                </a:cubicBezTo>
                <a:cubicBezTo>
                  <a:pt x="2415505" y="771111"/>
                  <a:pt x="2430862" y="770615"/>
                  <a:pt x="2438400" y="762000"/>
                </a:cubicBezTo>
                <a:cubicBezTo>
                  <a:pt x="2453477" y="744770"/>
                  <a:pt x="2463800" y="723900"/>
                  <a:pt x="2476500" y="704850"/>
                </a:cubicBezTo>
                <a:lnTo>
                  <a:pt x="2476500" y="704850"/>
                </a:lnTo>
                <a:cubicBezTo>
                  <a:pt x="2479675" y="695325"/>
                  <a:pt x="2483267" y="685929"/>
                  <a:pt x="2486025" y="676275"/>
                </a:cubicBezTo>
                <a:cubicBezTo>
                  <a:pt x="2489621" y="663688"/>
                  <a:pt x="2490953" y="650432"/>
                  <a:pt x="2495550" y="638175"/>
                </a:cubicBezTo>
                <a:cubicBezTo>
                  <a:pt x="2500536" y="624880"/>
                  <a:pt x="2508250" y="612775"/>
                  <a:pt x="2514600" y="600075"/>
                </a:cubicBezTo>
                <a:cubicBezTo>
                  <a:pt x="2506223" y="566567"/>
                  <a:pt x="2508905" y="559140"/>
                  <a:pt x="2486025" y="533400"/>
                </a:cubicBezTo>
                <a:cubicBezTo>
                  <a:pt x="2468127" y="513264"/>
                  <a:pt x="2428875" y="476250"/>
                  <a:pt x="2428875" y="476250"/>
                </a:cubicBezTo>
                <a:cubicBezTo>
                  <a:pt x="2428913" y="475871"/>
                  <a:pt x="2450566" y="367689"/>
                  <a:pt x="2428875" y="342900"/>
                </a:cubicBezTo>
                <a:cubicBezTo>
                  <a:pt x="2413798" y="325670"/>
                  <a:pt x="2390775" y="317500"/>
                  <a:pt x="2371725" y="304800"/>
                </a:cubicBezTo>
                <a:cubicBezTo>
                  <a:pt x="2362200" y="298450"/>
                  <a:pt x="2354256" y="288526"/>
                  <a:pt x="2343150" y="285750"/>
                </a:cubicBezTo>
                <a:cubicBezTo>
                  <a:pt x="2295310" y="273790"/>
                  <a:pt x="2317469" y="280365"/>
                  <a:pt x="2276475" y="266700"/>
                </a:cubicBezTo>
                <a:cubicBezTo>
                  <a:pt x="2263775" y="269875"/>
                  <a:pt x="2246894" y="266286"/>
                  <a:pt x="2238375" y="276225"/>
                </a:cubicBezTo>
                <a:cubicBezTo>
                  <a:pt x="2225307" y="291471"/>
                  <a:pt x="2219325" y="333375"/>
                  <a:pt x="2219325" y="333375"/>
                </a:cubicBezTo>
                <a:cubicBezTo>
                  <a:pt x="2222500" y="400050"/>
                  <a:pt x="2224257" y="466808"/>
                  <a:pt x="2228850" y="533400"/>
                </a:cubicBezTo>
                <a:cubicBezTo>
                  <a:pt x="2233451" y="600115"/>
                  <a:pt x="2251993" y="635420"/>
                  <a:pt x="2228850" y="704850"/>
                </a:cubicBezTo>
                <a:cubicBezTo>
                  <a:pt x="2225230" y="715710"/>
                  <a:pt x="2209800" y="717550"/>
                  <a:pt x="2200275" y="723900"/>
                </a:cubicBezTo>
                <a:cubicBezTo>
                  <a:pt x="2178050" y="720725"/>
                  <a:pt x="2154116" y="723493"/>
                  <a:pt x="2133600" y="714375"/>
                </a:cubicBezTo>
                <a:cubicBezTo>
                  <a:pt x="2123139" y="709726"/>
                  <a:pt x="2119199" y="696261"/>
                  <a:pt x="2114550" y="685800"/>
                </a:cubicBezTo>
                <a:cubicBezTo>
                  <a:pt x="2106395" y="667450"/>
                  <a:pt x="2095500" y="628650"/>
                  <a:pt x="2095500" y="628650"/>
                </a:cubicBezTo>
                <a:cubicBezTo>
                  <a:pt x="2083135" y="542096"/>
                  <a:pt x="2093075" y="583274"/>
                  <a:pt x="2066925" y="504825"/>
                </a:cubicBezTo>
                <a:cubicBezTo>
                  <a:pt x="2060650" y="486001"/>
                  <a:pt x="2055136" y="461104"/>
                  <a:pt x="2038350" y="447675"/>
                </a:cubicBezTo>
                <a:cubicBezTo>
                  <a:pt x="2030510" y="441403"/>
                  <a:pt x="2019300" y="441325"/>
                  <a:pt x="2009775" y="438150"/>
                </a:cubicBezTo>
                <a:cubicBezTo>
                  <a:pt x="1997075" y="441325"/>
                  <a:pt x="1981897" y="439497"/>
                  <a:pt x="1971675" y="447675"/>
                </a:cubicBezTo>
                <a:cubicBezTo>
                  <a:pt x="1963835" y="453947"/>
                  <a:pt x="1967719" y="467896"/>
                  <a:pt x="1962150" y="476250"/>
                </a:cubicBezTo>
                <a:cubicBezTo>
                  <a:pt x="1954678" y="487458"/>
                  <a:pt x="1943100" y="495300"/>
                  <a:pt x="1933575" y="504825"/>
                </a:cubicBezTo>
                <a:cubicBezTo>
                  <a:pt x="1927225" y="523875"/>
                  <a:pt x="1925664" y="578683"/>
                  <a:pt x="1914525" y="561975"/>
                </a:cubicBezTo>
                <a:cubicBezTo>
                  <a:pt x="1848627" y="463127"/>
                  <a:pt x="1948934" y="616148"/>
                  <a:pt x="1876425" y="495300"/>
                </a:cubicBezTo>
                <a:cubicBezTo>
                  <a:pt x="1864645" y="475667"/>
                  <a:pt x="1851025" y="457200"/>
                  <a:pt x="1838325" y="438150"/>
                </a:cubicBezTo>
                <a:lnTo>
                  <a:pt x="1819275" y="409575"/>
                </a:lnTo>
                <a:cubicBezTo>
                  <a:pt x="1810588" y="396545"/>
                  <a:pt x="1780511" y="350284"/>
                  <a:pt x="1771650" y="342900"/>
                </a:cubicBezTo>
                <a:cubicBezTo>
                  <a:pt x="1763937" y="336472"/>
                  <a:pt x="1752600" y="336550"/>
                  <a:pt x="1743075" y="333375"/>
                </a:cubicBezTo>
                <a:cubicBezTo>
                  <a:pt x="1757949" y="288754"/>
                  <a:pt x="1760846" y="293761"/>
                  <a:pt x="1743075" y="228600"/>
                </a:cubicBezTo>
                <a:cubicBezTo>
                  <a:pt x="1740063" y="217556"/>
                  <a:pt x="1728674" y="210486"/>
                  <a:pt x="1724025" y="200025"/>
                </a:cubicBezTo>
                <a:cubicBezTo>
                  <a:pt x="1715870" y="181675"/>
                  <a:pt x="1711325" y="161925"/>
                  <a:pt x="1704975" y="142875"/>
                </a:cubicBezTo>
                <a:lnTo>
                  <a:pt x="1685925" y="85725"/>
                </a:lnTo>
                <a:cubicBezTo>
                  <a:pt x="1681665" y="72946"/>
                  <a:pt x="1666875" y="66675"/>
                  <a:pt x="1657350" y="57150"/>
                </a:cubicBezTo>
                <a:cubicBezTo>
                  <a:pt x="1654175" y="47625"/>
                  <a:pt x="1654097" y="36415"/>
                  <a:pt x="1647825" y="28575"/>
                </a:cubicBezTo>
                <a:cubicBezTo>
                  <a:pt x="1634396" y="11789"/>
                  <a:pt x="1609499" y="6275"/>
                  <a:pt x="1590675" y="0"/>
                </a:cubicBezTo>
                <a:cubicBezTo>
                  <a:pt x="1581150" y="12700"/>
                  <a:pt x="1569976" y="24317"/>
                  <a:pt x="1562100" y="38100"/>
                </a:cubicBezTo>
                <a:cubicBezTo>
                  <a:pt x="1557119" y="46817"/>
                  <a:pt x="1555217" y="56989"/>
                  <a:pt x="1552575" y="66675"/>
                </a:cubicBezTo>
                <a:cubicBezTo>
                  <a:pt x="1520347" y="184843"/>
                  <a:pt x="1545924" y="105678"/>
                  <a:pt x="1524000" y="171450"/>
                </a:cubicBezTo>
                <a:cubicBezTo>
                  <a:pt x="1527175" y="203200"/>
                  <a:pt x="1524141" y="236203"/>
                  <a:pt x="1533525" y="266700"/>
                </a:cubicBezTo>
                <a:cubicBezTo>
                  <a:pt x="1537486" y="279575"/>
                  <a:pt x="1553476" y="284927"/>
                  <a:pt x="1562100" y="295275"/>
                </a:cubicBezTo>
                <a:cubicBezTo>
                  <a:pt x="1569429" y="304069"/>
                  <a:pt x="1576030" y="313611"/>
                  <a:pt x="1581150" y="323850"/>
                </a:cubicBezTo>
                <a:cubicBezTo>
                  <a:pt x="1596644" y="354838"/>
                  <a:pt x="1582428" y="353703"/>
                  <a:pt x="1609725" y="381000"/>
                </a:cubicBezTo>
                <a:cubicBezTo>
                  <a:pt x="1617820" y="389095"/>
                  <a:pt x="1629506" y="392721"/>
                  <a:pt x="1638300" y="400050"/>
                </a:cubicBezTo>
                <a:cubicBezTo>
                  <a:pt x="1665802" y="422969"/>
                  <a:pt x="1667194" y="429103"/>
                  <a:pt x="1685925" y="457200"/>
                </a:cubicBezTo>
                <a:cubicBezTo>
                  <a:pt x="1682750" y="476250"/>
                  <a:pt x="1678657" y="495170"/>
                  <a:pt x="1676400" y="514350"/>
                </a:cubicBezTo>
                <a:cubicBezTo>
                  <a:pt x="1672302" y="549179"/>
                  <a:pt x="1671835" y="584408"/>
                  <a:pt x="1666875" y="619125"/>
                </a:cubicBezTo>
                <a:cubicBezTo>
                  <a:pt x="1665455" y="629064"/>
                  <a:pt x="1664450" y="640600"/>
                  <a:pt x="1657350" y="647700"/>
                </a:cubicBezTo>
                <a:cubicBezTo>
                  <a:pt x="1650250" y="654800"/>
                  <a:pt x="1638300" y="654050"/>
                  <a:pt x="1628775" y="657225"/>
                </a:cubicBezTo>
                <a:cubicBezTo>
                  <a:pt x="1600200" y="654050"/>
                  <a:pt x="1567431" y="662938"/>
                  <a:pt x="1543050" y="647700"/>
                </a:cubicBezTo>
                <a:cubicBezTo>
                  <a:pt x="1531949" y="640762"/>
                  <a:pt x="1552575" y="622691"/>
                  <a:pt x="1552575" y="609600"/>
                </a:cubicBezTo>
                <a:cubicBezTo>
                  <a:pt x="1552575" y="565037"/>
                  <a:pt x="1548257" y="520508"/>
                  <a:pt x="1543050" y="476250"/>
                </a:cubicBezTo>
                <a:cubicBezTo>
                  <a:pt x="1540265" y="452577"/>
                  <a:pt x="1525867" y="431053"/>
                  <a:pt x="1504950" y="419100"/>
                </a:cubicBezTo>
                <a:cubicBezTo>
                  <a:pt x="1493584" y="412605"/>
                  <a:pt x="1479437" y="413171"/>
                  <a:pt x="1466850" y="409575"/>
                </a:cubicBezTo>
                <a:cubicBezTo>
                  <a:pt x="1457196" y="406817"/>
                  <a:pt x="1447800" y="403225"/>
                  <a:pt x="1438275" y="400050"/>
                </a:cubicBezTo>
                <a:cubicBezTo>
                  <a:pt x="1416050" y="403225"/>
                  <a:pt x="1391680" y="399535"/>
                  <a:pt x="1371600" y="409575"/>
                </a:cubicBezTo>
                <a:cubicBezTo>
                  <a:pt x="1362620" y="414065"/>
                  <a:pt x="1362075" y="428110"/>
                  <a:pt x="1362075" y="438150"/>
                </a:cubicBezTo>
                <a:cubicBezTo>
                  <a:pt x="1362075" y="460601"/>
                  <a:pt x="1367197" y="482810"/>
                  <a:pt x="1371600" y="504825"/>
                </a:cubicBezTo>
                <a:cubicBezTo>
                  <a:pt x="1380008" y="546863"/>
                  <a:pt x="1381240" y="525383"/>
                  <a:pt x="1409700" y="561975"/>
                </a:cubicBezTo>
                <a:cubicBezTo>
                  <a:pt x="1423756" y="580047"/>
                  <a:pt x="1447800" y="619125"/>
                  <a:pt x="1447800" y="619125"/>
                </a:cubicBezTo>
                <a:cubicBezTo>
                  <a:pt x="1444625" y="638175"/>
                  <a:pt x="1450993" y="661741"/>
                  <a:pt x="1438275" y="676275"/>
                </a:cubicBezTo>
                <a:cubicBezTo>
                  <a:pt x="1425052" y="691387"/>
                  <a:pt x="1381125" y="695325"/>
                  <a:pt x="1381125" y="695325"/>
                </a:cubicBezTo>
                <a:cubicBezTo>
                  <a:pt x="1327577" y="689375"/>
                  <a:pt x="1218495" y="676275"/>
                  <a:pt x="1171575" y="676275"/>
                </a:cubicBezTo>
                <a:cubicBezTo>
                  <a:pt x="1136506" y="676275"/>
                  <a:pt x="1101725" y="682625"/>
                  <a:pt x="1066800" y="685800"/>
                </a:cubicBezTo>
                <a:cubicBezTo>
                  <a:pt x="1057275" y="688975"/>
                  <a:pt x="1048265" y="695325"/>
                  <a:pt x="1038225" y="695325"/>
                </a:cubicBezTo>
                <a:cubicBezTo>
                  <a:pt x="1028185" y="695325"/>
                  <a:pt x="1016750" y="692900"/>
                  <a:pt x="1009650" y="685800"/>
                </a:cubicBezTo>
                <a:cubicBezTo>
                  <a:pt x="982361" y="658511"/>
                  <a:pt x="971607" y="633612"/>
                  <a:pt x="962025" y="600075"/>
                </a:cubicBezTo>
                <a:cubicBezTo>
                  <a:pt x="958429" y="587488"/>
                  <a:pt x="956096" y="574562"/>
                  <a:pt x="952500" y="561975"/>
                </a:cubicBezTo>
                <a:cubicBezTo>
                  <a:pt x="949742" y="552321"/>
                  <a:pt x="947465" y="542380"/>
                  <a:pt x="942975" y="533400"/>
                </a:cubicBezTo>
                <a:cubicBezTo>
                  <a:pt x="937855" y="523161"/>
                  <a:pt x="930275" y="514350"/>
                  <a:pt x="923925" y="504825"/>
                </a:cubicBezTo>
                <a:cubicBezTo>
                  <a:pt x="908050" y="508000"/>
                  <a:pt x="892006" y="510423"/>
                  <a:pt x="876300" y="514350"/>
                </a:cubicBezTo>
                <a:cubicBezTo>
                  <a:pt x="866560" y="516785"/>
                  <a:pt x="853561" y="515705"/>
                  <a:pt x="847725" y="523875"/>
                </a:cubicBezTo>
                <a:cubicBezTo>
                  <a:pt x="836053" y="540215"/>
                  <a:pt x="839814" y="564317"/>
                  <a:pt x="828675" y="581025"/>
                </a:cubicBezTo>
                <a:cubicBezTo>
                  <a:pt x="798486" y="626308"/>
                  <a:pt x="813245" y="598740"/>
                  <a:pt x="790575" y="666750"/>
                </a:cubicBezTo>
                <a:cubicBezTo>
                  <a:pt x="786955" y="677610"/>
                  <a:pt x="777875" y="685800"/>
                  <a:pt x="771525" y="695325"/>
                </a:cubicBezTo>
                <a:cubicBezTo>
                  <a:pt x="774700" y="704850"/>
                  <a:pt x="772070" y="719410"/>
                  <a:pt x="781050" y="723900"/>
                </a:cubicBezTo>
                <a:cubicBezTo>
                  <a:pt x="790030" y="728390"/>
                  <a:pt x="799885" y="716810"/>
                  <a:pt x="809625" y="714375"/>
                </a:cubicBezTo>
                <a:cubicBezTo>
                  <a:pt x="825331" y="710448"/>
                  <a:pt x="841375" y="708025"/>
                  <a:pt x="857250" y="704850"/>
                </a:cubicBezTo>
                <a:cubicBezTo>
                  <a:pt x="854075" y="717550"/>
                  <a:pt x="854220" y="731584"/>
                  <a:pt x="847725" y="742950"/>
                </a:cubicBezTo>
                <a:cubicBezTo>
                  <a:pt x="836442" y="762695"/>
                  <a:pt x="808783" y="778436"/>
                  <a:pt x="790575" y="790575"/>
                </a:cubicBezTo>
                <a:cubicBezTo>
                  <a:pt x="768350" y="781050"/>
                  <a:pt x="744019" y="775413"/>
                  <a:pt x="723900" y="762000"/>
                </a:cubicBezTo>
                <a:cubicBezTo>
                  <a:pt x="637732" y="704555"/>
                  <a:pt x="769692" y="755039"/>
                  <a:pt x="676275" y="723900"/>
                </a:cubicBezTo>
                <a:cubicBezTo>
                  <a:pt x="669925" y="714375"/>
                  <a:pt x="665840" y="702863"/>
                  <a:pt x="657225" y="695325"/>
                </a:cubicBezTo>
                <a:cubicBezTo>
                  <a:pt x="639995" y="680248"/>
                  <a:pt x="622740" y="660463"/>
                  <a:pt x="600075" y="657225"/>
                </a:cubicBezTo>
                <a:cubicBezTo>
                  <a:pt x="514281" y="644969"/>
                  <a:pt x="555545" y="651391"/>
                  <a:pt x="476250" y="638175"/>
                </a:cubicBezTo>
                <a:cubicBezTo>
                  <a:pt x="466725" y="635000"/>
                  <a:pt x="457458" y="630908"/>
                  <a:pt x="447675" y="628650"/>
                </a:cubicBezTo>
                <a:cubicBezTo>
                  <a:pt x="416125" y="621369"/>
                  <a:pt x="352425" y="609600"/>
                  <a:pt x="352425" y="609600"/>
                </a:cubicBezTo>
                <a:cubicBezTo>
                  <a:pt x="342900" y="603250"/>
                  <a:pt x="331001" y="599489"/>
                  <a:pt x="323850" y="590550"/>
                </a:cubicBezTo>
                <a:cubicBezTo>
                  <a:pt x="317578" y="582710"/>
                  <a:pt x="314325" y="572015"/>
                  <a:pt x="314325" y="561975"/>
                </a:cubicBezTo>
                <a:cubicBezTo>
                  <a:pt x="314325" y="548884"/>
                  <a:pt x="316588" y="534767"/>
                  <a:pt x="323850" y="523875"/>
                </a:cubicBezTo>
                <a:cubicBezTo>
                  <a:pt x="334401" y="508048"/>
                  <a:pt x="364700" y="500733"/>
                  <a:pt x="381000" y="495300"/>
                </a:cubicBezTo>
                <a:cubicBezTo>
                  <a:pt x="377825" y="469900"/>
                  <a:pt x="390416" y="436319"/>
                  <a:pt x="371475" y="419100"/>
                </a:cubicBezTo>
                <a:cubicBezTo>
                  <a:pt x="347517" y="397320"/>
                  <a:pt x="276225" y="400050"/>
                  <a:pt x="276225" y="400050"/>
                </a:cubicBezTo>
                <a:lnTo>
                  <a:pt x="161925" y="323850"/>
                </a:lnTo>
                <a:cubicBezTo>
                  <a:pt x="153571" y="318281"/>
                  <a:pt x="142875" y="317500"/>
                  <a:pt x="133350" y="314325"/>
                </a:cubicBezTo>
                <a:lnTo>
                  <a:pt x="76200" y="276225"/>
                </a:lnTo>
                <a:lnTo>
                  <a:pt x="47625" y="257175"/>
                </a:lnTo>
                <a:lnTo>
                  <a:pt x="19050" y="22860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xdr:cNvSpPr/>
        </xdr:nvSpPr>
        <xdr:spPr>
          <a:xfrm>
            <a:off x="2989350" y="14000408"/>
            <a:ext cx="924865" cy="823171"/>
          </a:xfrm>
          <a:custGeom>
            <a:avLst/>
            <a:gdLst>
              <a:gd name="connsiteX0" fmla="*/ 379 w 933829"/>
              <a:gd name="connsiteY0" fmla="*/ 581246 h 848384"/>
              <a:gd name="connsiteX1" fmla="*/ 57529 w 933829"/>
              <a:gd name="connsiteY1" fmla="*/ 628871 h 848384"/>
              <a:gd name="connsiteX2" fmla="*/ 86104 w 933829"/>
              <a:gd name="connsiteY2" fmla="*/ 638396 h 848384"/>
              <a:gd name="connsiteX3" fmla="*/ 105154 w 933829"/>
              <a:gd name="connsiteY3" fmla="*/ 695546 h 848384"/>
              <a:gd name="connsiteX4" fmla="*/ 162304 w 933829"/>
              <a:gd name="connsiteY4" fmla="*/ 733646 h 848384"/>
              <a:gd name="connsiteX5" fmla="*/ 190879 w 933829"/>
              <a:gd name="connsiteY5" fmla="*/ 752696 h 848384"/>
              <a:gd name="connsiteX6" fmla="*/ 200404 w 933829"/>
              <a:gd name="connsiteY6" fmla="*/ 828896 h 848384"/>
              <a:gd name="connsiteX7" fmla="*/ 228979 w 933829"/>
              <a:gd name="connsiteY7" fmla="*/ 847946 h 848384"/>
              <a:gd name="connsiteX8" fmla="*/ 333754 w 933829"/>
              <a:gd name="connsiteY8" fmla="*/ 838421 h 848384"/>
              <a:gd name="connsiteX9" fmla="*/ 381379 w 933829"/>
              <a:gd name="connsiteY9" fmla="*/ 828896 h 848384"/>
              <a:gd name="connsiteX10" fmla="*/ 409954 w 933829"/>
              <a:gd name="connsiteY10" fmla="*/ 819371 h 848384"/>
              <a:gd name="connsiteX11" fmla="*/ 486154 w 933829"/>
              <a:gd name="connsiteY11" fmla="*/ 809846 h 848384"/>
              <a:gd name="connsiteX12" fmla="*/ 514729 w 933829"/>
              <a:gd name="connsiteY12" fmla="*/ 800321 h 848384"/>
              <a:gd name="connsiteX13" fmla="*/ 571879 w 933829"/>
              <a:gd name="connsiteY13" fmla="*/ 771746 h 848384"/>
              <a:gd name="connsiteX14" fmla="*/ 629029 w 933829"/>
              <a:gd name="connsiteY14" fmla="*/ 781271 h 848384"/>
              <a:gd name="connsiteX15" fmla="*/ 686179 w 933829"/>
              <a:gd name="connsiteY15" fmla="*/ 800321 h 848384"/>
              <a:gd name="connsiteX16" fmla="*/ 714754 w 933829"/>
              <a:gd name="connsiteY16" fmla="*/ 819371 h 848384"/>
              <a:gd name="connsiteX17" fmla="*/ 790954 w 933829"/>
              <a:gd name="connsiteY17" fmla="*/ 838421 h 848384"/>
              <a:gd name="connsiteX18" fmla="*/ 848104 w 933829"/>
              <a:gd name="connsiteY18" fmla="*/ 847946 h 848384"/>
              <a:gd name="connsiteX19" fmla="*/ 876679 w 933829"/>
              <a:gd name="connsiteY19" fmla="*/ 838421 h 848384"/>
              <a:gd name="connsiteX20" fmla="*/ 857629 w 933829"/>
              <a:gd name="connsiteY20" fmla="*/ 762221 h 848384"/>
              <a:gd name="connsiteX21" fmla="*/ 867154 w 933829"/>
              <a:gd name="connsiteY21" fmla="*/ 733646 h 848384"/>
              <a:gd name="connsiteX22" fmla="*/ 933829 w 933829"/>
              <a:gd name="connsiteY22" fmla="*/ 705071 h 848384"/>
              <a:gd name="connsiteX23" fmla="*/ 914779 w 933829"/>
              <a:gd name="connsiteY23" fmla="*/ 638396 h 848384"/>
              <a:gd name="connsiteX24" fmla="*/ 857629 w 933829"/>
              <a:gd name="connsiteY24" fmla="*/ 590771 h 848384"/>
              <a:gd name="connsiteX25" fmla="*/ 829054 w 933829"/>
              <a:gd name="connsiteY25" fmla="*/ 581246 h 848384"/>
              <a:gd name="connsiteX26" fmla="*/ 819529 w 933829"/>
              <a:gd name="connsiteY26" fmla="*/ 552671 h 848384"/>
              <a:gd name="connsiteX27" fmla="*/ 762379 w 933829"/>
              <a:gd name="connsiteY27" fmla="*/ 533621 h 848384"/>
              <a:gd name="connsiteX28" fmla="*/ 743329 w 933829"/>
              <a:gd name="connsiteY28" fmla="*/ 219296 h 848384"/>
              <a:gd name="connsiteX29" fmla="*/ 762379 w 933829"/>
              <a:gd name="connsiteY29" fmla="*/ 104996 h 848384"/>
              <a:gd name="connsiteX30" fmla="*/ 724279 w 933829"/>
              <a:gd name="connsiteY30" fmla="*/ 221 h 848384"/>
              <a:gd name="connsiteX31" fmla="*/ 695704 w 933829"/>
              <a:gd name="connsiteY31" fmla="*/ 9746 h 848384"/>
              <a:gd name="connsiteX32" fmla="*/ 648079 w 933829"/>
              <a:gd name="connsiteY32" fmla="*/ 95471 h 848384"/>
              <a:gd name="connsiteX33" fmla="*/ 619504 w 933829"/>
              <a:gd name="connsiteY33" fmla="*/ 85946 h 848384"/>
              <a:gd name="connsiteX34" fmla="*/ 600454 w 933829"/>
              <a:gd name="connsiteY34" fmla="*/ 143096 h 848384"/>
              <a:gd name="connsiteX35" fmla="*/ 590929 w 933829"/>
              <a:gd name="connsiteY35" fmla="*/ 333596 h 848384"/>
              <a:gd name="connsiteX36" fmla="*/ 581404 w 933829"/>
              <a:gd name="connsiteY36" fmla="*/ 362171 h 848384"/>
              <a:gd name="connsiteX37" fmla="*/ 552829 w 933829"/>
              <a:gd name="connsiteY37" fmla="*/ 305021 h 848384"/>
              <a:gd name="connsiteX38" fmla="*/ 543304 w 933829"/>
              <a:gd name="connsiteY38" fmla="*/ 238346 h 848384"/>
              <a:gd name="connsiteX39" fmla="*/ 533779 w 933829"/>
              <a:gd name="connsiteY39" fmla="*/ 209771 h 848384"/>
              <a:gd name="connsiteX40" fmla="*/ 505204 w 933829"/>
              <a:gd name="connsiteY40" fmla="*/ 190721 h 848384"/>
              <a:gd name="connsiteX41" fmla="*/ 467104 w 933829"/>
              <a:gd name="connsiteY41" fmla="*/ 200246 h 848384"/>
              <a:gd name="connsiteX42" fmla="*/ 457579 w 933829"/>
              <a:gd name="connsiteY42" fmla="*/ 228821 h 848384"/>
              <a:gd name="connsiteX43" fmla="*/ 448054 w 933829"/>
              <a:gd name="connsiteY43" fmla="*/ 324071 h 848384"/>
              <a:gd name="connsiteX44" fmla="*/ 438529 w 933829"/>
              <a:gd name="connsiteY44" fmla="*/ 495521 h 848384"/>
              <a:gd name="connsiteX45" fmla="*/ 429004 w 933829"/>
              <a:gd name="connsiteY45" fmla="*/ 543146 h 848384"/>
              <a:gd name="connsiteX46" fmla="*/ 419479 w 933829"/>
              <a:gd name="connsiteY46" fmla="*/ 609821 h 848384"/>
              <a:gd name="connsiteX47" fmla="*/ 362329 w 933829"/>
              <a:gd name="connsiteY47" fmla="*/ 590771 h 848384"/>
              <a:gd name="connsiteX48" fmla="*/ 295654 w 933829"/>
              <a:gd name="connsiteY48" fmla="*/ 571721 h 848384"/>
              <a:gd name="connsiteX49" fmla="*/ 181354 w 933829"/>
              <a:gd name="connsiteY49" fmla="*/ 562196 h 848384"/>
              <a:gd name="connsiteX50" fmla="*/ 86104 w 933829"/>
              <a:gd name="connsiteY50" fmla="*/ 552671 h 848384"/>
              <a:gd name="connsiteX51" fmla="*/ 379 w 933829"/>
              <a:gd name="connsiteY51" fmla="*/ 581246 h 848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933829" h="848384">
                <a:moveTo>
                  <a:pt x="379" y="581246"/>
                </a:moveTo>
                <a:cubicBezTo>
                  <a:pt x="-4384" y="593946"/>
                  <a:pt x="36896" y="615116"/>
                  <a:pt x="57529" y="628871"/>
                </a:cubicBezTo>
                <a:cubicBezTo>
                  <a:pt x="65883" y="634440"/>
                  <a:pt x="80268" y="630226"/>
                  <a:pt x="86104" y="638396"/>
                </a:cubicBezTo>
                <a:cubicBezTo>
                  <a:pt x="97776" y="654736"/>
                  <a:pt x="98804" y="676496"/>
                  <a:pt x="105154" y="695546"/>
                </a:cubicBezTo>
                <a:cubicBezTo>
                  <a:pt x="112394" y="717266"/>
                  <a:pt x="143254" y="720946"/>
                  <a:pt x="162304" y="733646"/>
                </a:cubicBezTo>
                <a:lnTo>
                  <a:pt x="190879" y="752696"/>
                </a:lnTo>
                <a:cubicBezTo>
                  <a:pt x="194054" y="778096"/>
                  <a:pt x="190897" y="805129"/>
                  <a:pt x="200404" y="828896"/>
                </a:cubicBezTo>
                <a:cubicBezTo>
                  <a:pt x="204656" y="839525"/>
                  <a:pt x="217560" y="847130"/>
                  <a:pt x="228979" y="847946"/>
                </a:cubicBezTo>
                <a:cubicBezTo>
                  <a:pt x="263959" y="850445"/>
                  <a:pt x="298829" y="841596"/>
                  <a:pt x="333754" y="838421"/>
                </a:cubicBezTo>
                <a:cubicBezTo>
                  <a:pt x="349629" y="835246"/>
                  <a:pt x="365673" y="832823"/>
                  <a:pt x="381379" y="828896"/>
                </a:cubicBezTo>
                <a:cubicBezTo>
                  <a:pt x="391119" y="826461"/>
                  <a:pt x="400076" y="821167"/>
                  <a:pt x="409954" y="819371"/>
                </a:cubicBezTo>
                <a:cubicBezTo>
                  <a:pt x="435139" y="814792"/>
                  <a:pt x="460754" y="813021"/>
                  <a:pt x="486154" y="809846"/>
                </a:cubicBezTo>
                <a:cubicBezTo>
                  <a:pt x="495679" y="806671"/>
                  <a:pt x="505749" y="804811"/>
                  <a:pt x="514729" y="800321"/>
                </a:cubicBezTo>
                <a:cubicBezTo>
                  <a:pt x="588587" y="763392"/>
                  <a:pt x="500055" y="795687"/>
                  <a:pt x="571879" y="771746"/>
                </a:cubicBezTo>
                <a:cubicBezTo>
                  <a:pt x="590929" y="774921"/>
                  <a:pt x="610293" y="776587"/>
                  <a:pt x="629029" y="781271"/>
                </a:cubicBezTo>
                <a:cubicBezTo>
                  <a:pt x="648510" y="786141"/>
                  <a:pt x="686179" y="800321"/>
                  <a:pt x="686179" y="800321"/>
                </a:cubicBezTo>
                <a:cubicBezTo>
                  <a:pt x="695704" y="806671"/>
                  <a:pt x="704515" y="814251"/>
                  <a:pt x="714754" y="819371"/>
                </a:cubicBezTo>
                <a:cubicBezTo>
                  <a:pt x="733638" y="828813"/>
                  <a:pt x="773875" y="835316"/>
                  <a:pt x="790954" y="838421"/>
                </a:cubicBezTo>
                <a:cubicBezTo>
                  <a:pt x="809955" y="841876"/>
                  <a:pt x="829054" y="844771"/>
                  <a:pt x="848104" y="847946"/>
                </a:cubicBezTo>
                <a:cubicBezTo>
                  <a:pt x="857629" y="844771"/>
                  <a:pt x="873504" y="847946"/>
                  <a:pt x="876679" y="838421"/>
                </a:cubicBezTo>
                <a:cubicBezTo>
                  <a:pt x="880510" y="826927"/>
                  <a:pt x="862769" y="777641"/>
                  <a:pt x="857629" y="762221"/>
                </a:cubicBezTo>
                <a:cubicBezTo>
                  <a:pt x="860804" y="752696"/>
                  <a:pt x="860882" y="741486"/>
                  <a:pt x="867154" y="733646"/>
                </a:cubicBezTo>
                <a:cubicBezTo>
                  <a:pt x="883599" y="713090"/>
                  <a:pt x="910950" y="710791"/>
                  <a:pt x="933829" y="705071"/>
                </a:cubicBezTo>
                <a:cubicBezTo>
                  <a:pt x="932559" y="699990"/>
                  <a:pt x="920245" y="646595"/>
                  <a:pt x="914779" y="638396"/>
                </a:cubicBezTo>
                <a:cubicBezTo>
                  <a:pt x="904246" y="622597"/>
                  <a:pt x="875200" y="599556"/>
                  <a:pt x="857629" y="590771"/>
                </a:cubicBezTo>
                <a:cubicBezTo>
                  <a:pt x="848649" y="586281"/>
                  <a:pt x="838579" y="584421"/>
                  <a:pt x="829054" y="581246"/>
                </a:cubicBezTo>
                <a:cubicBezTo>
                  <a:pt x="825879" y="571721"/>
                  <a:pt x="827699" y="558507"/>
                  <a:pt x="819529" y="552671"/>
                </a:cubicBezTo>
                <a:cubicBezTo>
                  <a:pt x="803189" y="540999"/>
                  <a:pt x="762379" y="533621"/>
                  <a:pt x="762379" y="533621"/>
                </a:cubicBezTo>
                <a:cubicBezTo>
                  <a:pt x="723755" y="417750"/>
                  <a:pt x="743329" y="485502"/>
                  <a:pt x="743329" y="219296"/>
                </a:cubicBezTo>
                <a:cubicBezTo>
                  <a:pt x="743329" y="155493"/>
                  <a:pt x="747476" y="149706"/>
                  <a:pt x="762379" y="104996"/>
                </a:cubicBezTo>
                <a:cubicBezTo>
                  <a:pt x="759053" y="75061"/>
                  <a:pt x="773805" y="8475"/>
                  <a:pt x="724279" y="221"/>
                </a:cubicBezTo>
                <a:cubicBezTo>
                  <a:pt x="714375" y="-1430"/>
                  <a:pt x="705229" y="6571"/>
                  <a:pt x="695704" y="9746"/>
                </a:cubicBezTo>
                <a:cubicBezTo>
                  <a:pt x="652035" y="75250"/>
                  <a:pt x="664844" y="45176"/>
                  <a:pt x="648079" y="95471"/>
                </a:cubicBezTo>
                <a:cubicBezTo>
                  <a:pt x="638554" y="92296"/>
                  <a:pt x="626604" y="78846"/>
                  <a:pt x="619504" y="85946"/>
                </a:cubicBezTo>
                <a:cubicBezTo>
                  <a:pt x="605305" y="100145"/>
                  <a:pt x="600454" y="143096"/>
                  <a:pt x="600454" y="143096"/>
                </a:cubicBezTo>
                <a:cubicBezTo>
                  <a:pt x="597279" y="206596"/>
                  <a:pt x="596437" y="270256"/>
                  <a:pt x="590929" y="333596"/>
                </a:cubicBezTo>
                <a:cubicBezTo>
                  <a:pt x="590059" y="343598"/>
                  <a:pt x="591444" y="362171"/>
                  <a:pt x="581404" y="362171"/>
                </a:cubicBezTo>
                <a:cubicBezTo>
                  <a:pt x="569094" y="362171"/>
                  <a:pt x="555178" y="312067"/>
                  <a:pt x="552829" y="305021"/>
                </a:cubicBezTo>
                <a:cubicBezTo>
                  <a:pt x="549654" y="282796"/>
                  <a:pt x="547707" y="260361"/>
                  <a:pt x="543304" y="238346"/>
                </a:cubicBezTo>
                <a:cubicBezTo>
                  <a:pt x="541335" y="228501"/>
                  <a:pt x="540051" y="217611"/>
                  <a:pt x="533779" y="209771"/>
                </a:cubicBezTo>
                <a:cubicBezTo>
                  <a:pt x="526628" y="200832"/>
                  <a:pt x="514729" y="197071"/>
                  <a:pt x="505204" y="190721"/>
                </a:cubicBezTo>
                <a:cubicBezTo>
                  <a:pt x="492504" y="193896"/>
                  <a:pt x="477326" y="192068"/>
                  <a:pt x="467104" y="200246"/>
                </a:cubicBezTo>
                <a:cubicBezTo>
                  <a:pt x="459264" y="206518"/>
                  <a:pt x="459106" y="218898"/>
                  <a:pt x="457579" y="228821"/>
                </a:cubicBezTo>
                <a:cubicBezTo>
                  <a:pt x="452727" y="260358"/>
                  <a:pt x="450327" y="292244"/>
                  <a:pt x="448054" y="324071"/>
                </a:cubicBezTo>
                <a:cubicBezTo>
                  <a:pt x="443976" y="381164"/>
                  <a:pt x="443488" y="438498"/>
                  <a:pt x="438529" y="495521"/>
                </a:cubicBezTo>
                <a:cubicBezTo>
                  <a:pt x="437127" y="511650"/>
                  <a:pt x="431666" y="527177"/>
                  <a:pt x="429004" y="543146"/>
                </a:cubicBezTo>
                <a:cubicBezTo>
                  <a:pt x="425313" y="565291"/>
                  <a:pt x="422654" y="587596"/>
                  <a:pt x="419479" y="609821"/>
                </a:cubicBezTo>
                <a:lnTo>
                  <a:pt x="362329" y="590771"/>
                </a:lnTo>
                <a:cubicBezTo>
                  <a:pt x="343350" y="584445"/>
                  <a:pt x="314790" y="574113"/>
                  <a:pt x="295654" y="571721"/>
                </a:cubicBezTo>
                <a:cubicBezTo>
                  <a:pt x="257717" y="566979"/>
                  <a:pt x="219429" y="565657"/>
                  <a:pt x="181354" y="562196"/>
                </a:cubicBezTo>
                <a:lnTo>
                  <a:pt x="86104" y="552671"/>
                </a:lnTo>
                <a:cubicBezTo>
                  <a:pt x="-18554" y="564300"/>
                  <a:pt x="5142" y="568546"/>
                  <a:pt x="379" y="581246"/>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xdr:cNvSpPr/>
        </xdr:nvSpPr>
        <xdr:spPr>
          <a:xfrm>
            <a:off x="4568829" y="13931253"/>
            <a:ext cx="2070656" cy="1504697"/>
          </a:xfrm>
          <a:custGeom>
            <a:avLst/>
            <a:gdLst>
              <a:gd name="connsiteX0" fmla="*/ 83853 w 2084103"/>
              <a:gd name="connsiteY0" fmla="*/ 88273 h 1555123"/>
              <a:gd name="connsiteX1" fmla="*/ 64803 w 2084103"/>
              <a:gd name="connsiteY1" fmla="*/ 135898 h 1555123"/>
              <a:gd name="connsiteX2" fmla="*/ 55278 w 2084103"/>
              <a:gd name="connsiteY2" fmla="*/ 164473 h 1555123"/>
              <a:gd name="connsiteX3" fmla="*/ 26703 w 2084103"/>
              <a:gd name="connsiteY3" fmla="*/ 183523 h 1555123"/>
              <a:gd name="connsiteX4" fmla="*/ 17178 w 2084103"/>
              <a:gd name="connsiteY4" fmla="*/ 469273 h 1555123"/>
              <a:gd name="connsiteX5" fmla="*/ 26703 w 2084103"/>
              <a:gd name="connsiteY5" fmla="*/ 497848 h 1555123"/>
              <a:gd name="connsiteX6" fmla="*/ 64803 w 2084103"/>
              <a:gd name="connsiteY6" fmla="*/ 507373 h 1555123"/>
              <a:gd name="connsiteX7" fmla="*/ 93378 w 2084103"/>
              <a:gd name="connsiteY7" fmla="*/ 516898 h 1555123"/>
              <a:gd name="connsiteX8" fmla="*/ 121953 w 2084103"/>
              <a:gd name="connsiteY8" fmla="*/ 535948 h 1555123"/>
              <a:gd name="connsiteX9" fmla="*/ 102903 w 2084103"/>
              <a:gd name="connsiteY9" fmla="*/ 602623 h 1555123"/>
              <a:gd name="connsiteX10" fmla="*/ 169578 w 2084103"/>
              <a:gd name="connsiteY10" fmla="*/ 621673 h 1555123"/>
              <a:gd name="connsiteX11" fmla="*/ 226728 w 2084103"/>
              <a:gd name="connsiteY11" fmla="*/ 640723 h 1555123"/>
              <a:gd name="connsiteX12" fmla="*/ 255303 w 2084103"/>
              <a:gd name="connsiteY12" fmla="*/ 650248 h 1555123"/>
              <a:gd name="connsiteX13" fmla="*/ 369603 w 2084103"/>
              <a:gd name="connsiteY13" fmla="*/ 659773 h 1555123"/>
              <a:gd name="connsiteX14" fmla="*/ 502953 w 2084103"/>
              <a:gd name="connsiteY14" fmla="*/ 640723 h 1555123"/>
              <a:gd name="connsiteX15" fmla="*/ 531528 w 2084103"/>
              <a:gd name="connsiteY15" fmla="*/ 631198 h 1555123"/>
              <a:gd name="connsiteX16" fmla="*/ 588678 w 2084103"/>
              <a:gd name="connsiteY16" fmla="*/ 621673 h 1555123"/>
              <a:gd name="connsiteX17" fmla="*/ 617253 w 2084103"/>
              <a:gd name="connsiteY17" fmla="*/ 612148 h 1555123"/>
              <a:gd name="connsiteX18" fmla="*/ 655353 w 2084103"/>
              <a:gd name="connsiteY18" fmla="*/ 602623 h 1555123"/>
              <a:gd name="connsiteX19" fmla="*/ 664878 w 2084103"/>
              <a:gd name="connsiteY19" fmla="*/ 564523 h 1555123"/>
              <a:gd name="connsiteX20" fmla="*/ 731553 w 2084103"/>
              <a:gd name="connsiteY20" fmla="*/ 593098 h 1555123"/>
              <a:gd name="connsiteX21" fmla="*/ 798228 w 2084103"/>
              <a:gd name="connsiteY21" fmla="*/ 602623 h 1555123"/>
              <a:gd name="connsiteX22" fmla="*/ 855378 w 2084103"/>
              <a:gd name="connsiteY22" fmla="*/ 621673 h 1555123"/>
              <a:gd name="connsiteX23" fmla="*/ 883953 w 2084103"/>
              <a:gd name="connsiteY23" fmla="*/ 631198 h 1555123"/>
              <a:gd name="connsiteX24" fmla="*/ 912528 w 2084103"/>
              <a:gd name="connsiteY24" fmla="*/ 688348 h 1555123"/>
              <a:gd name="connsiteX25" fmla="*/ 941103 w 2084103"/>
              <a:gd name="connsiteY25" fmla="*/ 697873 h 1555123"/>
              <a:gd name="connsiteX26" fmla="*/ 969678 w 2084103"/>
              <a:gd name="connsiteY26" fmla="*/ 726448 h 1555123"/>
              <a:gd name="connsiteX27" fmla="*/ 1103028 w 2084103"/>
              <a:gd name="connsiteY27" fmla="*/ 745498 h 1555123"/>
              <a:gd name="connsiteX28" fmla="*/ 1131603 w 2084103"/>
              <a:gd name="connsiteY28" fmla="*/ 755023 h 1555123"/>
              <a:gd name="connsiteX29" fmla="*/ 1160178 w 2084103"/>
              <a:gd name="connsiteY29" fmla="*/ 840748 h 1555123"/>
              <a:gd name="connsiteX30" fmla="*/ 1160178 w 2084103"/>
              <a:gd name="connsiteY30" fmla="*/ 840748 h 1555123"/>
              <a:gd name="connsiteX31" fmla="*/ 1226853 w 2084103"/>
              <a:gd name="connsiteY31" fmla="*/ 888373 h 1555123"/>
              <a:gd name="connsiteX32" fmla="*/ 1217328 w 2084103"/>
              <a:gd name="connsiteY32" fmla="*/ 945523 h 1555123"/>
              <a:gd name="connsiteX33" fmla="*/ 1226853 w 2084103"/>
              <a:gd name="connsiteY33" fmla="*/ 1097923 h 1555123"/>
              <a:gd name="connsiteX34" fmla="*/ 1198278 w 2084103"/>
              <a:gd name="connsiteY34" fmla="*/ 1174123 h 1555123"/>
              <a:gd name="connsiteX35" fmla="*/ 1179228 w 2084103"/>
              <a:gd name="connsiteY35" fmla="*/ 1231273 h 1555123"/>
              <a:gd name="connsiteX36" fmla="*/ 1169703 w 2084103"/>
              <a:gd name="connsiteY36" fmla="*/ 1259848 h 1555123"/>
              <a:gd name="connsiteX37" fmla="*/ 1141128 w 2084103"/>
              <a:gd name="connsiteY37" fmla="*/ 1278898 h 1555123"/>
              <a:gd name="connsiteX38" fmla="*/ 1103028 w 2084103"/>
              <a:gd name="connsiteY38" fmla="*/ 1288423 h 1555123"/>
              <a:gd name="connsiteX39" fmla="*/ 1074453 w 2084103"/>
              <a:gd name="connsiteY39" fmla="*/ 1297948 h 1555123"/>
              <a:gd name="connsiteX40" fmla="*/ 1045878 w 2084103"/>
              <a:gd name="connsiteY40" fmla="*/ 1383673 h 1555123"/>
              <a:gd name="connsiteX41" fmla="*/ 1036353 w 2084103"/>
              <a:gd name="connsiteY41" fmla="*/ 1431298 h 1555123"/>
              <a:gd name="connsiteX42" fmla="*/ 1045878 w 2084103"/>
              <a:gd name="connsiteY42" fmla="*/ 1478923 h 1555123"/>
              <a:gd name="connsiteX43" fmla="*/ 1131603 w 2084103"/>
              <a:gd name="connsiteY43" fmla="*/ 1478923 h 1555123"/>
              <a:gd name="connsiteX44" fmla="*/ 1160178 w 2084103"/>
              <a:gd name="connsiteY44" fmla="*/ 1469398 h 1555123"/>
              <a:gd name="connsiteX45" fmla="*/ 1198278 w 2084103"/>
              <a:gd name="connsiteY45" fmla="*/ 1459873 h 1555123"/>
              <a:gd name="connsiteX46" fmla="*/ 1236378 w 2084103"/>
              <a:gd name="connsiteY46" fmla="*/ 1440823 h 1555123"/>
              <a:gd name="connsiteX47" fmla="*/ 1264953 w 2084103"/>
              <a:gd name="connsiteY47" fmla="*/ 1431298 h 1555123"/>
              <a:gd name="connsiteX48" fmla="*/ 1274478 w 2084103"/>
              <a:gd name="connsiteY48" fmla="*/ 1402723 h 1555123"/>
              <a:gd name="connsiteX49" fmla="*/ 1350678 w 2084103"/>
              <a:gd name="connsiteY49" fmla="*/ 1393198 h 1555123"/>
              <a:gd name="connsiteX50" fmla="*/ 1417353 w 2084103"/>
              <a:gd name="connsiteY50" fmla="*/ 1412248 h 1555123"/>
              <a:gd name="connsiteX51" fmla="*/ 1436403 w 2084103"/>
              <a:gd name="connsiteY51" fmla="*/ 1440823 h 1555123"/>
              <a:gd name="connsiteX52" fmla="*/ 1512603 w 2084103"/>
              <a:gd name="connsiteY52" fmla="*/ 1478923 h 1555123"/>
              <a:gd name="connsiteX53" fmla="*/ 1655478 w 2084103"/>
              <a:gd name="connsiteY53" fmla="*/ 1469398 h 1555123"/>
              <a:gd name="connsiteX54" fmla="*/ 1684053 w 2084103"/>
              <a:gd name="connsiteY54" fmla="*/ 1478923 h 1555123"/>
              <a:gd name="connsiteX55" fmla="*/ 1836453 w 2084103"/>
              <a:gd name="connsiteY55" fmla="*/ 1488448 h 1555123"/>
              <a:gd name="connsiteX56" fmla="*/ 1941228 w 2084103"/>
              <a:gd name="connsiteY56" fmla="*/ 1517023 h 1555123"/>
              <a:gd name="connsiteX57" fmla="*/ 1969803 w 2084103"/>
              <a:gd name="connsiteY57" fmla="*/ 1536073 h 1555123"/>
              <a:gd name="connsiteX58" fmla="*/ 2026953 w 2084103"/>
              <a:gd name="connsiteY58" fmla="*/ 1555123 h 1555123"/>
              <a:gd name="connsiteX59" fmla="*/ 2074578 w 2084103"/>
              <a:gd name="connsiteY59" fmla="*/ 1545598 h 1555123"/>
              <a:gd name="connsiteX60" fmla="*/ 2084103 w 2084103"/>
              <a:gd name="connsiteY60" fmla="*/ 1517023 h 1555123"/>
              <a:gd name="connsiteX61" fmla="*/ 2055528 w 2084103"/>
              <a:gd name="connsiteY61" fmla="*/ 1440823 h 1555123"/>
              <a:gd name="connsiteX62" fmla="*/ 1960278 w 2084103"/>
              <a:gd name="connsiteY62" fmla="*/ 1402723 h 1555123"/>
              <a:gd name="connsiteX63" fmla="*/ 1931703 w 2084103"/>
              <a:gd name="connsiteY63" fmla="*/ 1393198 h 1555123"/>
              <a:gd name="connsiteX64" fmla="*/ 1903128 w 2084103"/>
              <a:gd name="connsiteY64" fmla="*/ 1383673 h 1555123"/>
              <a:gd name="connsiteX65" fmla="*/ 1874553 w 2084103"/>
              <a:gd name="connsiteY65" fmla="*/ 1355098 h 1555123"/>
              <a:gd name="connsiteX66" fmla="*/ 2017428 w 2084103"/>
              <a:gd name="connsiteY66" fmla="*/ 1326523 h 1555123"/>
              <a:gd name="connsiteX67" fmla="*/ 2007903 w 2084103"/>
              <a:gd name="connsiteY67" fmla="*/ 1164598 h 1555123"/>
              <a:gd name="connsiteX68" fmla="*/ 1988853 w 2084103"/>
              <a:gd name="connsiteY68" fmla="*/ 1136023 h 1555123"/>
              <a:gd name="connsiteX69" fmla="*/ 1979328 w 2084103"/>
              <a:gd name="connsiteY69" fmla="*/ 1107448 h 1555123"/>
              <a:gd name="connsiteX70" fmla="*/ 1931703 w 2084103"/>
              <a:gd name="connsiteY70" fmla="*/ 1040773 h 1555123"/>
              <a:gd name="connsiteX71" fmla="*/ 1903128 w 2084103"/>
              <a:gd name="connsiteY71" fmla="*/ 1031248 h 1555123"/>
              <a:gd name="connsiteX72" fmla="*/ 1836453 w 2084103"/>
              <a:gd name="connsiteY72" fmla="*/ 993148 h 1555123"/>
              <a:gd name="connsiteX73" fmla="*/ 1807878 w 2084103"/>
              <a:gd name="connsiteY73" fmla="*/ 983623 h 1555123"/>
              <a:gd name="connsiteX74" fmla="*/ 1712628 w 2084103"/>
              <a:gd name="connsiteY74" fmla="*/ 974098 h 1555123"/>
              <a:gd name="connsiteX75" fmla="*/ 1684053 w 2084103"/>
              <a:gd name="connsiteY75" fmla="*/ 964573 h 1555123"/>
              <a:gd name="connsiteX76" fmla="*/ 1645953 w 2084103"/>
              <a:gd name="connsiteY76" fmla="*/ 831223 h 1555123"/>
              <a:gd name="connsiteX77" fmla="*/ 1712628 w 2084103"/>
              <a:gd name="connsiteY77" fmla="*/ 878848 h 1555123"/>
              <a:gd name="connsiteX78" fmla="*/ 1836453 w 2084103"/>
              <a:gd name="connsiteY78" fmla="*/ 888373 h 1555123"/>
              <a:gd name="connsiteX79" fmla="*/ 2007903 w 2084103"/>
              <a:gd name="connsiteY79" fmla="*/ 878848 h 1555123"/>
              <a:gd name="connsiteX80" fmla="*/ 1998378 w 2084103"/>
              <a:gd name="connsiteY80" fmla="*/ 831223 h 1555123"/>
              <a:gd name="connsiteX81" fmla="*/ 1960278 w 2084103"/>
              <a:gd name="connsiteY81" fmla="*/ 745498 h 1555123"/>
              <a:gd name="connsiteX82" fmla="*/ 1950753 w 2084103"/>
              <a:gd name="connsiteY82" fmla="*/ 640723 h 1555123"/>
              <a:gd name="connsiteX83" fmla="*/ 1893603 w 2084103"/>
              <a:gd name="connsiteY83" fmla="*/ 621673 h 1555123"/>
              <a:gd name="connsiteX84" fmla="*/ 1826928 w 2084103"/>
              <a:gd name="connsiteY84" fmla="*/ 631198 h 1555123"/>
              <a:gd name="connsiteX85" fmla="*/ 1741203 w 2084103"/>
              <a:gd name="connsiteY85" fmla="*/ 621673 h 1555123"/>
              <a:gd name="connsiteX86" fmla="*/ 1684053 w 2084103"/>
              <a:gd name="connsiteY86" fmla="*/ 602623 h 1555123"/>
              <a:gd name="connsiteX87" fmla="*/ 1655478 w 2084103"/>
              <a:gd name="connsiteY87" fmla="*/ 593098 h 1555123"/>
              <a:gd name="connsiteX88" fmla="*/ 1598328 w 2084103"/>
              <a:gd name="connsiteY88" fmla="*/ 574048 h 1555123"/>
              <a:gd name="connsiteX89" fmla="*/ 1522128 w 2084103"/>
              <a:gd name="connsiteY89" fmla="*/ 554998 h 1555123"/>
              <a:gd name="connsiteX90" fmla="*/ 1464978 w 2084103"/>
              <a:gd name="connsiteY90" fmla="*/ 516898 h 1555123"/>
              <a:gd name="connsiteX91" fmla="*/ 1445928 w 2084103"/>
              <a:gd name="connsiteY91" fmla="*/ 440698 h 1555123"/>
              <a:gd name="connsiteX92" fmla="*/ 1417353 w 2084103"/>
              <a:gd name="connsiteY92" fmla="*/ 421648 h 1555123"/>
              <a:gd name="connsiteX93" fmla="*/ 1331628 w 2084103"/>
              <a:gd name="connsiteY93" fmla="*/ 431173 h 1555123"/>
              <a:gd name="connsiteX94" fmla="*/ 1293528 w 2084103"/>
              <a:gd name="connsiteY94" fmla="*/ 450223 h 1555123"/>
              <a:gd name="connsiteX95" fmla="*/ 1264953 w 2084103"/>
              <a:gd name="connsiteY95" fmla="*/ 459748 h 1555123"/>
              <a:gd name="connsiteX96" fmla="*/ 1255428 w 2084103"/>
              <a:gd name="connsiteY96" fmla="*/ 374023 h 1555123"/>
              <a:gd name="connsiteX97" fmla="*/ 1179228 w 2084103"/>
              <a:gd name="connsiteY97" fmla="*/ 335923 h 1555123"/>
              <a:gd name="connsiteX98" fmla="*/ 1122078 w 2084103"/>
              <a:gd name="connsiteY98" fmla="*/ 326398 h 1555123"/>
              <a:gd name="connsiteX99" fmla="*/ 1093503 w 2084103"/>
              <a:gd name="connsiteY99" fmla="*/ 307348 h 1555123"/>
              <a:gd name="connsiteX100" fmla="*/ 1083978 w 2084103"/>
              <a:gd name="connsiteY100" fmla="*/ 259723 h 1555123"/>
              <a:gd name="connsiteX101" fmla="*/ 1064928 w 2084103"/>
              <a:gd name="connsiteY101" fmla="*/ 231148 h 1555123"/>
              <a:gd name="connsiteX102" fmla="*/ 855378 w 2084103"/>
              <a:gd name="connsiteY102" fmla="*/ 221623 h 1555123"/>
              <a:gd name="connsiteX103" fmla="*/ 845853 w 2084103"/>
              <a:gd name="connsiteY103" fmla="*/ 193048 h 1555123"/>
              <a:gd name="connsiteX104" fmla="*/ 779178 w 2084103"/>
              <a:gd name="connsiteY104" fmla="*/ 154948 h 1555123"/>
              <a:gd name="connsiteX105" fmla="*/ 702978 w 2084103"/>
              <a:gd name="connsiteY105" fmla="*/ 154948 h 1555123"/>
              <a:gd name="connsiteX106" fmla="*/ 645828 w 2084103"/>
              <a:gd name="connsiteY106" fmla="*/ 135898 h 1555123"/>
              <a:gd name="connsiteX107" fmla="*/ 636303 w 2084103"/>
              <a:gd name="connsiteY107" fmla="*/ 12073 h 1555123"/>
              <a:gd name="connsiteX108" fmla="*/ 569628 w 2084103"/>
              <a:gd name="connsiteY108" fmla="*/ 2548 h 1555123"/>
              <a:gd name="connsiteX109" fmla="*/ 388653 w 2084103"/>
              <a:gd name="connsiteY109" fmla="*/ 12073 h 1555123"/>
              <a:gd name="connsiteX110" fmla="*/ 360078 w 2084103"/>
              <a:gd name="connsiteY110" fmla="*/ 97798 h 1555123"/>
              <a:gd name="connsiteX111" fmla="*/ 398178 w 2084103"/>
              <a:gd name="connsiteY111" fmla="*/ 116848 h 1555123"/>
              <a:gd name="connsiteX112" fmla="*/ 398178 w 2084103"/>
              <a:gd name="connsiteY112" fmla="*/ 183523 h 1555123"/>
              <a:gd name="connsiteX113" fmla="*/ 341028 w 2084103"/>
              <a:gd name="connsiteY113" fmla="*/ 164473 h 1555123"/>
              <a:gd name="connsiteX114" fmla="*/ 321978 w 2084103"/>
              <a:gd name="connsiteY114" fmla="*/ 135898 h 1555123"/>
              <a:gd name="connsiteX115" fmla="*/ 302928 w 2084103"/>
              <a:gd name="connsiteY115" fmla="*/ 78748 h 1555123"/>
              <a:gd name="connsiteX116" fmla="*/ 245778 w 2084103"/>
              <a:gd name="connsiteY116" fmla="*/ 50173 h 1555123"/>
              <a:gd name="connsiteX117" fmla="*/ 207678 w 2084103"/>
              <a:gd name="connsiteY117" fmla="*/ 59698 h 1555123"/>
              <a:gd name="connsiteX118" fmla="*/ 179103 w 2084103"/>
              <a:gd name="connsiteY118" fmla="*/ 116848 h 1555123"/>
              <a:gd name="connsiteX119" fmla="*/ 150528 w 2084103"/>
              <a:gd name="connsiteY119" fmla="*/ 269248 h 1555123"/>
              <a:gd name="connsiteX120" fmla="*/ 160053 w 2084103"/>
              <a:gd name="connsiteY120" fmla="*/ 345448 h 1555123"/>
              <a:gd name="connsiteX121" fmla="*/ 150528 w 2084103"/>
              <a:gd name="connsiteY121" fmla="*/ 393073 h 1555123"/>
              <a:gd name="connsiteX122" fmla="*/ 121953 w 2084103"/>
              <a:gd name="connsiteY122" fmla="*/ 297823 h 1555123"/>
              <a:gd name="connsiteX123" fmla="*/ 83853 w 2084103"/>
              <a:gd name="connsiteY123" fmla="*/ 88273 h 15551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084103" h="1555123">
                <a:moveTo>
                  <a:pt x="83853" y="88273"/>
                </a:moveTo>
                <a:cubicBezTo>
                  <a:pt x="74328" y="61286"/>
                  <a:pt x="70806" y="119889"/>
                  <a:pt x="64803" y="135898"/>
                </a:cubicBezTo>
                <a:cubicBezTo>
                  <a:pt x="61278" y="145299"/>
                  <a:pt x="61550" y="156633"/>
                  <a:pt x="55278" y="164473"/>
                </a:cubicBezTo>
                <a:cubicBezTo>
                  <a:pt x="48127" y="173412"/>
                  <a:pt x="36228" y="177173"/>
                  <a:pt x="26703" y="183523"/>
                </a:cubicBezTo>
                <a:cubicBezTo>
                  <a:pt x="-14728" y="307817"/>
                  <a:pt x="224" y="240390"/>
                  <a:pt x="17178" y="469273"/>
                </a:cubicBezTo>
                <a:cubicBezTo>
                  <a:pt x="17920" y="479286"/>
                  <a:pt x="18863" y="491576"/>
                  <a:pt x="26703" y="497848"/>
                </a:cubicBezTo>
                <a:cubicBezTo>
                  <a:pt x="36925" y="506026"/>
                  <a:pt x="52216" y="503777"/>
                  <a:pt x="64803" y="507373"/>
                </a:cubicBezTo>
                <a:cubicBezTo>
                  <a:pt x="74457" y="510131"/>
                  <a:pt x="83853" y="513723"/>
                  <a:pt x="93378" y="516898"/>
                </a:cubicBezTo>
                <a:cubicBezTo>
                  <a:pt x="102903" y="523248"/>
                  <a:pt x="118333" y="525088"/>
                  <a:pt x="121953" y="535948"/>
                </a:cubicBezTo>
                <a:cubicBezTo>
                  <a:pt x="123946" y="541928"/>
                  <a:pt x="105866" y="593734"/>
                  <a:pt x="102903" y="602623"/>
                </a:cubicBezTo>
                <a:cubicBezTo>
                  <a:pt x="198935" y="634634"/>
                  <a:pt x="49977" y="585793"/>
                  <a:pt x="169578" y="621673"/>
                </a:cubicBezTo>
                <a:cubicBezTo>
                  <a:pt x="188812" y="627443"/>
                  <a:pt x="207678" y="634373"/>
                  <a:pt x="226728" y="640723"/>
                </a:cubicBezTo>
                <a:cubicBezTo>
                  <a:pt x="236253" y="643898"/>
                  <a:pt x="245297" y="649414"/>
                  <a:pt x="255303" y="650248"/>
                </a:cubicBezTo>
                <a:lnTo>
                  <a:pt x="369603" y="659773"/>
                </a:lnTo>
                <a:cubicBezTo>
                  <a:pt x="402558" y="655654"/>
                  <a:pt x="467639" y="648571"/>
                  <a:pt x="502953" y="640723"/>
                </a:cubicBezTo>
                <a:cubicBezTo>
                  <a:pt x="512754" y="638545"/>
                  <a:pt x="521727" y="633376"/>
                  <a:pt x="531528" y="631198"/>
                </a:cubicBezTo>
                <a:cubicBezTo>
                  <a:pt x="550381" y="627008"/>
                  <a:pt x="569628" y="624848"/>
                  <a:pt x="588678" y="621673"/>
                </a:cubicBezTo>
                <a:cubicBezTo>
                  <a:pt x="598203" y="618498"/>
                  <a:pt x="607599" y="614906"/>
                  <a:pt x="617253" y="612148"/>
                </a:cubicBezTo>
                <a:cubicBezTo>
                  <a:pt x="629840" y="608552"/>
                  <a:pt x="646096" y="611880"/>
                  <a:pt x="655353" y="602623"/>
                </a:cubicBezTo>
                <a:cubicBezTo>
                  <a:pt x="664610" y="593366"/>
                  <a:pt x="661703" y="577223"/>
                  <a:pt x="664878" y="564523"/>
                </a:cubicBezTo>
                <a:cubicBezTo>
                  <a:pt x="685531" y="574850"/>
                  <a:pt x="708194" y="588426"/>
                  <a:pt x="731553" y="593098"/>
                </a:cubicBezTo>
                <a:cubicBezTo>
                  <a:pt x="753568" y="597501"/>
                  <a:pt x="776003" y="599448"/>
                  <a:pt x="798228" y="602623"/>
                </a:cubicBezTo>
                <a:lnTo>
                  <a:pt x="855378" y="621673"/>
                </a:lnTo>
                <a:lnTo>
                  <a:pt x="883953" y="631198"/>
                </a:lnTo>
                <a:cubicBezTo>
                  <a:pt x="890228" y="650022"/>
                  <a:pt x="895742" y="674919"/>
                  <a:pt x="912528" y="688348"/>
                </a:cubicBezTo>
                <a:cubicBezTo>
                  <a:pt x="920368" y="694620"/>
                  <a:pt x="931578" y="694698"/>
                  <a:pt x="941103" y="697873"/>
                </a:cubicBezTo>
                <a:cubicBezTo>
                  <a:pt x="950628" y="707398"/>
                  <a:pt x="956755" y="722647"/>
                  <a:pt x="969678" y="726448"/>
                </a:cubicBezTo>
                <a:cubicBezTo>
                  <a:pt x="1012755" y="739118"/>
                  <a:pt x="1103028" y="745498"/>
                  <a:pt x="1103028" y="745498"/>
                </a:cubicBezTo>
                <a:cubicBezTo>
                  <a:pt x="1112553" y="748673"/>
                  <a:pt x="1125767" y="746853"/>
                  <a:pt x="1131603" y="755023"/>
                </a:cubicBezTo>
                <a:lnTo>
                  <a:pt x="1160178" y="840748"/>
                </a:lnTo>
                <a:lnTo>
                  <a:pt x="1160178" y="840748"/>
                </a:lnTo>
                <a:cubicBezTo>
                  <a:pt x="1188712" y="883549"/>
                  <a:pt x="1168599" y="865071"/>
                  <a:pt x="1226853" y="888373"/>
                </a:cubicBezTo>
                <a:cubicBezTo>
                  <a:pt x="1277456" y="964277"/>
                  <a:pt x="1225662" y="866350"/>
                  <a:pt x="1217328" y="945523"/>
                </a:cubicBezTo>
                <a:cubicBezTo>
                  <a:pt x="1212000" y="996142"/>
                  <a:pt x="1223678" y="1047123"/>
                  <a:pt x="1226853" y="1097923"/>
                </a:cubicBezTo>
                <a:cubicBezTo>
                  <a:pt x="1206231" y="1180412"/>
                  <a:pt x="1231484" y="1091108"/>
                  <a:pt x="1198278" y="1174123"/>
                </a:cubicBezTo>
                <a:cubicBezTo>
                  <a:pt x="1190820" y="1192767"/>
                  <a:pt x="1185578" y="1212223"/>
                  <a:pt x="1179228" y="1231273"/>
                </a:cubicBezTo>
                <a:cubicBezTo>
                  <a:pt x="1176053" y="1240798"/>
                  <a:pt x="1178057" y="1254279"/>
                  <a:pt x="1169703" y="1259848"/>
                </a:cubicBezTo>
                <a:cubicBezTo>
                  <a:pt x="1160178" y="1266198"/>
                  <a:pt x="1151650" y="1274389"/>
                  <a:pt x="1141128" y="1278898"/>
                </a:cubicBezTo>
                <a:cubicBezTo>
                  <a:pt x="1129096" y="1284055"/>
                  <a:pt x="1115615" y="1284827"/>
                  <a:pt x="1103028" y="1288423"/>
                </a:cubicBezTo>
                <a:cubicBezTo>
                  <a:pt x="1093374" y="1291181"/>
                  <a:pt x="1083978" y="1294773"/>
                  <a:pt x="1074453" y="1297948"/>
                </a:cubicBezTo>
                <a:lnTo>
                  <a:pt x="1045878" y="1383673"/>
                </a:lnTo>
                <a:cubicBezTo>
                  <a:pt x="1040758" y="1399032"/>
                  <a:pt x="1039528" y="1415423"/>
                  <a:pt x="1036353" y="1431298"/>
                </a:cubicBezTo>
                <a:cubicBezTo>
                  <a:pt x="1039528" y="1447173"/>
                  <a:pt x="1036898" y="1465453"/>
                  <a:pt x="1045878" y="1478923"/>
                </a:cubicBezTo>
                <a:cubicBezTo>
                  <a:pt x="1059947" y="1500027"/>
                  <a:pt x="1127695" y="1479574"/>
                  <a:pt x="1131603" y="1478923"/>
                </a:cubicBezTo>
                <a:cubicBezTo>
                  <a:pt x="1141128" y="1475748"/>
                  <a:pt x="1150524" y="1472156"/>
                  <a:pt x="1160178" y="1469398"/>
                </a:cubicBezTo>
                <a:cubicBezTo>
                  <a:pt x="1172765" y="1465802"/>
                  <a:pt x="1186021" y="1464470"/>
                  <a:pt x="1198278" y="1459873"/>
                </a:cubicBezTo>
                <a:cubicBezTo>
                  <a:pt x="1211573" y="1454887"/>
                  <a:pt x="1223327" y="1446416"/>
                  <a:pt x="1236378" y="1440823"/>
                </a:cubicBezTo>
                <a:cubicBezTo>
                  <a:pt x="1245606" y="1436868"/>
                  <a:pt x="1255428" y="1434473"/>
                  <a:pt x="1264953" y="1431298"/>
                </a:cubicBezTo>
                <a:cubicBezTo>
                  <a:pt x="1268128" y="1421773"/>
                  <a:pt x="1268206" y="1410563"/>
                  <a:pt x="1274478" y="1402723"/>
                </a:cubicBezTo>
                <a:cubicBezTo>
                  <a:pt x="1299236" y="1371776"/>
                  <a:pt x="1316276" y="1385553"/>
                  <a:pt x="1350678" y="1393198"/>
                </a:cubicBezTo>
                <a:cubicBezTo>
                  <a:pt x="1386558" y="1401171"/>
                  <a:pt x="1385532" y="1401641"/>
                  <a:pt x="1417353" y="1412248"/>
                </a:cubicBezTo>
                <a:cubicBezTo>
                  <a:pt x="1423703" y="1421773"/>
                  <a:pt x="1427025" y="1434258"/>
                  <a:pt x="1436403" y="1440823"/>
                </a:cubicBezTo>
                <a:cubicBezTo>
                  <a:pt x="1459668" y="1457108"/>
                  <a:pt x="1512603" y="1478923"/>
                  <a:pt x="1512603" y="1478923"/>
                </a:cubicBezTo>
                <a:cubicBezTo>
                  <a:pt x="1560228" y="1475748"/>
                  <a:pt x="1607747" y="1469398"/>
                  <a:pt x="1655478" y="1469398"/>
                </a:cubicBezTo>
                <a:cubicBezTo>
                  <a:pt x="1665518" y="1469398"/>
                  <a:pt x="1674068" y="1477872"/>
                  <a:pt x="1684053" y="1478923"/>
                </a:cubicBezTo>
                <a:cubicBezTo>
                  <a:pt x="1734672" y="1484251"/>
                  <a:pt x="1785653" y="1485273"/>
                  <a:pt x="1836453" y="1488448"/>
                </a:cubicBezTo>
                <a:cubicBezTo>
                  <a:pt x="1922393" y="1509933"/>
                  <a:pt x="1887815" y="1499219"/>
                  <a:pt x="1941228" y="1517023"/>
                </a:cubicBezTo>
                <a:cubicBezTo>
                  <a:pt x="1950753" y="1523373"/>
                  <a:pt x="1959342" y="1531424"/>
                  <a:pt x="1969803" y="1536073"/>
                </a:cubicBezTo>
                <a:cubicBezTo>
                  <a:pt x="1988153" y="1544228"/>
                  <a:pt x="2026953" y="1555123"/>
                  <a:pt x="2026953" y="1555123"/>
                </a:cubicBezTo>
                <a:cubicBezTo>
                  <a:pt x="2042828" y="1551948"/>
                  <a:pt x="2061108" y="1554578"/>
                  <a:pt x="2074578" y="1545598"/>
                </a:cubicBezTo>
                <a:cubicBezTo>
                  <a:pt x="2082932" y="1540029"/>
                  <a:pt x="2084103" y="1527063"/>
                  <a:pt x="2084103" y="1517023"/>
                </a:cubicBezTo>
                <a:cubicBezTo>
                  <a:pt x="2084103" y="1494408"/>
                  <a:pt x="2075236" y="1457246"/>
                  <a:pt x="2055528" y="1440823"/>
                </a:cubicBezTo>
                <a:cubicBezTo>
                  <a:pt x="2036841" y="1425251"/>
                  <a:pt x="1978044" y="1408645"/>
                  <a:pt x="1960278" y="1402723"/>
                </a:cubicBezTo>
                <a:lnTo>
                  <a:pt x="1931703" y="1393198"/>
                </a:lnTo>
                <a:lnTo>
                  <a:pt x="1903128" y="1383673"/>
                </a:lnTo>
                <a:cubicBezTo>
                  <a:pt x="1893603" y="1374148"/>
                  <a:pt x="1884901" y="1363722"/>
                  <a:pt x="1874553" y="1355098"/>
                </a:cubicBezTo>
                <a:cubicBezTo>
                  <a:pt x="1812641" y="1303504"/>
                  <a:pt x="1763111" y="1340652"/>
                  <a:pt x="2017428" y="1326523"/>
                </a:cubicBezTo>
                <a:cubicBezTo>
                  <a:pt x="2014253" y="1272548"/>
                  <a:pt x="2015924" y="1218068"/>
                  <a:pt x="2007903" y="1164598"/>
                </a:cubicBezTo>
                <a:cubicBezTo>
                  <a:pt x="2006205" y="1153277"/>
                  <a:pt x="1993973" y="1146262"/>
                  <a:pt x="1988853" y="1136023"/>
                </a:cubicBezTo>
                <a:cubicBezTo>
                  <a:pt x="1984363" y="1127043"/>
                  <a:pt x="1983283" y="1116676"/>
                  <a:pt x="1979328" y="1107448"/>
                </a:cubicBezTo>
                <a:cubicBezTo>
                  <a:pt x="1967409" y="1079638"/>
                  <a:pt x="1957838" y="1058196"/>
                  <a:pt x="1931703" y="1040773"/>
                </a:cubicBezTo>
                <a:cubicBezTo>
                  <a:pt x="1923349" y="1035204"/>
                  <a:pt x="1912653" y="1034423"/>
                  <a:pt x="1903128" y="1031248"/>
                </a:cubicBezTo>
                <a:cubicBezTo>
                  <a:pt x="1874430" y="1012116"/>
                  <a:pt x="1870290" y="1007650"/>
                  <a:pt x="1836453" y="993148"/>
                </a:cubicBezTo>
                <a:cubicBezTo>
                  <a:pt x="1827225" y="989193"/>
                  <a:pt x="1817801" y="985150"/>
                  <a:pt x="1807878" y="983623"/>
                </a:cubicBezTo>
                <a:cubicBezTo>
                  <a:pt x="1776341" y="978771"/>
                  <a:pt x="1744378" y="977273"/>
                  <a:pt x="1712628" y="974098"/>
                </a:cubicBezTo>
                <a:cubicBezTo>
                  <a:pt x="1703103" y="970923"/>
                  <a:pt x="1689889" y="972743"/>
                  <a:pt x="1684053" y="964573"/>
                </a:cubicBezTo>
                <a:cubicBezTo>
                  <a:pt x="1673542" y="949857"/>
                  <a:pt x="1647945" y="839192"/>
                  <a:pt x="1645953" y="831223"/>
                </a:cubicBezTo>
                <a:cubicBezTo>
                  <a:pt x="1645643" y="829983"/>
                  <a:pt x="1705146" y="877445"/>
                  <a:pt x="1712628" y="878848"/>
                </a:cubicBezTo>
                <a:cubicBezTo>
                  <a:pt x="1753316" y="886477"/>
                  <a:pt x="1795178" y="885198"/>
                  <a:pt x="1836453" y="888373"/>
                </a:cubicBezTo>
                <a:cubicBezTo>
                  <a:pt x="1893603" y="885198"/>
                  <a:pt x="1953928" y="897898"/>
                  <a:pt x="2007903" y="878848"/>
                </a:cubicBezTo>
                <a:cubicBezTo>
                  <a:pt x="2023169" y="873460"/>
                  <a:pt x="2002638" y="846842"/>
                  <a:pt x="1998378" y="831223"/>
                </a:cubicBezTo>
                <a:cubicBezTo>
                  <a:pt x="1982683" y="773676"/>
                  <a:pt x="1986490" y="784816"/>
                  <a:pt x="1960278" y="745498"/>
                </a:cubicBezTo>
                <a:cubicBezTo>
                  <a:pt x="1957103" y="710573"/>
                  <a:pt x="1967379" y="671600"/>
                  <a:pt x="1950753" y="640723"/>
                </a:cubicBezTo>
                <a:cubicBezTo>
                  <a:pt x="1941233" y="623043"/>
                  <a:pt x="1893603" y="621673"/>
                  <a:pt x="1893603" y="621673"/>
                </a:cubicBezTo>
                <a:cubicBezTo>
                  <a:pt x="1871378" y="624848"/>
                  <a:pt x="1849379" y="631198"/>
                  <a:pt x="1826928" y="631198"/>
                </a:cubicBezTo>
                <a:cubicBezTo>
                  <a:pt x="1798177" y="631198"/>
                  <a:pt x="1769396" y="627312"/>
                  <a:pt x="1741203" y="621673"/>
                </a:cubicBezTo>
                <a:cubicBezTo>
                  <a:pt x="1721512" y="617735"/>
                  <a:pt x="1703103" y="608973"/>
                  <a:pt x="1684053" y="602623"/>
                </a:cubicBezTo>
                <a:lnTo>
                  <a:pt x="1655478" y="593098"/>
                </a:lnTo>
                <a:lnTo>
                  <a:pt x="1598328" y="574048"/>
                </a:lnTo>
                <a:cubicBezTo>
                  <a:pt x="1573490" y="565769"/>
                  <a:pt x="1522128" y="554998"/>
                  <a:pt x="1522128" y="554998"/>
                </a:cubicBezTo>
                <a:cubicBezTo>
                  <a:pt x="1503078" y="542298"/>
                  <a:pt x="1469468" y="539349"/>
                  <a:pt x="1464978" y="516898"/>
                </a:cubicBezTo>
                <a:cubicBezTo>
                  <a:pt x="1464504" y="514526"/>
                  <a:pt x="1453738" y="450461"/>
                  <a:pt x="1445928" y="440698"/>
                </a:cubicBezTo>
                <a:cubicBezTo>
                  <a:pt x="1438777" y="431759"/>
                  <a:pt x="1426878" y="427998"/>
                  <a:pt x="1417353" y="421648"/>
                </a:cubicBezTo>
                <a:cubicBezTo>
                  <a:pt x="1388778" y="424823"/>
                  <a:pt x="1359643" y="424708"/>
                  <a:pt x="1331628" y="431173"/>
                </a:cubicBezTo>
                <a:cubicBezTo>
                  <a:pt x="1317793" y="434366"/>
                  <a:pt x="1306579" y="444630"/>
                  <a:pt x="1293528" y="450223"/>
                </a:cubicBezTo>
                <a:cubicBezTo>
                  <a:pt x="1284300" y="454178"/>
                  <a:pt x="1274478" y="456573"/>
                  <a:pt x="1264953" y="459748"/>
                </a:cubicBezTo>
                <a:cubicBezTo>
                  <a:pt x="1261778" y="431173"/>
                  <a:pt x="1264520" y="401298"/>
                  <a:pt x="1255428" y="374023"/>
                </a:cubicBezTo>
                <a:cubicBezTo>
                  <a:pt x="1244135" y="340144"/>
                  <a:pt x="1205533" y="340706"/>
                  <a:pt x="1179228" y="335923"/>
                </a:cubicBezTo>
                <a:cubicBezTo>
                  <a:pt x="1160227" y="332468"/>
                  <a:pt x="1141128" y="329573"/>
                  <a:pt x="1122078" y="326398"/>
                </a:cubicBezTo>
                <a:cubicBezTo>
                  <a:pt x="1112553" y="320048"/>
                  <a:pt x="1099183" y="317287"/>
                  <a:pt x="1093503" y="307348"/>
                </a:cubicBezTo>
                <a:cubicBezTo>
                  <a:pt x="1085471" y="293292"/>
                  <a:pt x="1089662" y="274882"/>
                  <a:pt x="1083978" y="259723"/>
                </a:cubicBezTo>
                <a:cubicBezTo>
                  <a:pt x="1079958" y="249004"/>
                  <a:pt x="1071278" y="240673"/>
                  <a:pt x="1064928" y="231148"/>
                </a:cubicBezTo>
                <a:cubicBezTo>
                  <a:pt x="997805" y="236311"/>
                  <a:pt x="920782" y="254325"/>
                  <a:pt x="855378" y="221623"/>
                </a:cubicBezTo>
                <a:cubicBezTo>
                  <a:pt x="846398" y="217133"/>
                  <a:pt x="851422" y="201402"/>
                  <a:pt x="845853" y="193048"/>
                </a:cubicBezTo>
                <a:cubicBezTo>
                  <a:pt x="823154" y="159000"/>
                  <a:pt x="815640" y="164063"/>
                  <a:pt x="779178" y="154948"/>
                </a:cubicBezTo>
                <a:cubicBezTo>
                  <a:pt x="739521" y="168167"/>
                  <a:pt x="753552" y="168741"/>
                  <a:pt x="702978" y="154948"/>
                </a:cubicBezTo>
                <a:cubicBezTo>
                  <a:pt x="683605" y="149664"/>
                  <a:pt x="645828" y="135898"/>
                  <a:pt x="645828" y="135898"/>
                </a:cubicBezTo>
                <a:cubicBezTo>
                  <a:pt x="642653" y="94623"/>
                  <a:pt x="656842" y="48016"/>
                  <a:pt x="636303" y="12073"/>
                </a:cubicBezTo>
                <a:cubicBezTo>
                  <a:pt x="625164" y="-7420"/>
                  <a:pt x="592079" y="2548"/>
                  <a:pt x="569628" y="2548"/>
                </a:cubicBezTo>
                <a:cubicBezTo>
                  <a:pt x="509220" y="2548"/>
                  <a:pt x="448978" y="8898"/>
                  <a:pt x="388653" y="12073"/>
                </a:cubicBezTo>
                <a:cubicBezTo>
                  <a:pt x="375568" y="31701"/>
                  <a:pt x="329901" y="67621"/>
                  <a:pt x="360078" y="97798"/>
                </a:cubicBezTo>
                <a:cubicBezTo>
                  <a:pt x="370118" y="107838"/>
                  <a:pt x="385478" y="110498"/>
                  <a:pt x="398178" y="116848"/>
                </a:cubicBezTo>
                <a:cubicBezTo>
                  <a:pt x="401473" y="126734"/>
                  <a:pt x="423658" y="176243"/>
                  <a:pt x="398178" y="183523"/>
                </a:cubicBezTo>
                <a:cubicBezTo>
                  <a:pt x="378870" y="189040"/>
                  <a:pt x="341028" y="164473"/>
                  <a:pt x="341028" y="164473"/>
                </a:cubicBezTo>
                <a:cubicBezTo>
                  <a:pt x="334678" y="154948"/>
                  <a:pt x="326627" y="146359"/>
                  <a:pt x="321978" y="135898"/>
                </a:cubicBezTo>
                <a:cubicBezTo>
                  <a:pt x="313823" y="117548"/>
                  <a:pt x="319636" y="89887"/>
                  <a:pt x="302928" y="78748"/>
                </a:cubicBezTo>
                <a:cubicBezTo>
                  <a:pt x="265999" y="54129"/>
                  <a:pt x="285213" y="63318"/>
                  <a:pt x="245778" y="50173"/>
                </a:cubicBezTo>
                <a:cubicBezTo>
                  <a:pt x="233078" y="53348"/>
                  <a:pt x="218570" y="52436"/>
                  <a:pt x="207678" y="59698"/>
                </a:cubicBezTo>
                <a:cubicBezTo>
                  <a:pt x="194711" y="68343"/>
                  <a:pt x="182029" y="102220"/>
                  <a:pt x="179103" y="116848"/>
                </a:cubicBezTo>
                <a:cubicBezTo>
                  <a:pt x="136699" y="328869"/>
                  <a:pt x="176607" y="164933"/>
                  <a:pt x="150528" y="269248"/>
                </a:cubicBezTo>
                <a:cubicBezTo>
                  <a:pt x="153703" y="294648"/>
                  <a:pt x="160053" y="319850"/>
                  <a:pt x="160053" y="345448"/>
                </a:cubicBezTo>
                <a:cubicBezTo>
                  <a:pt x="160053" y="361637"/>
                  <a:pt x="165887" y="398193"/>
                  <a:pt x="150528" y="393073"/>
                </a:cubicBezTo>
                <a:cubicBezTo>
                  <a:pt x="144204" y="390965"/>
                  <a:pt x="125353" y="311425"/>
                  <a:pt x="121953" y="297823"/>
                </a:cubicBezTo>
                <a:cubicBezTo>
                  <a:pt x="112073" y="100232"/>
                  <a:pt x="93378" y="115260"/>
                  <a:pt x="83853" y="88273"/>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xdr:cNvSpPr/>
        </xdr:nvSpPr>
        <xdr:spPr>
          <a:xfrm>
            <a:off x="4113924" y="12307695"/>
            <a:ext cx="777704" cy="1645156"/>
          </a:xfrm>
          <a:custGeom>
            <a:avLst/>
            <a:gdLst>
              <a:gd name="connsiteX0" fmla="*/ 676591 w 782187"/>
              <a:gd name="connsiteY0" fmla="*/ 133 h 1695583"/>
              <a:gd name="connsiteX1" fmla="*/ 628966 w 782187"/>
              <a:gd name="connsiteY1" fmla="*/ 9658 h 1695583"/>
              <a:gd name="connsiteX2" fmla="*/ 600391 w 782187"/>
              <a:gd name="connsiteY2" fmla="*/ 19183 h 1695583"/>
              <a:gd name="connsiteX3" fmla="*/ 495616 w 782187"/>
              <a:gd name="connsiteY3" fmla="*/ 38233 h 1695583"/>
              <a:gd name="connsiteX4" fmla="*/ 400366 w 782187"/>
              <a:gd name="connsiteY4" fmla="*/ 85858 h 1695583"/>
              <a:gd name="connsiteX5" fmla="*/ 352741 w 782187"/>
              <a:gd name="connsiteY5" fmla="*/ 133483 h 1695583"/>
              <a:gd name="connsiteX6" fmla="*/ 333691 w 782187"/>
              <a:gd name="connsiteY6" fmla="*/ 190633 h 1695583"/>
              <a:gd name="connsiteX7" fmla="*/ 276541 w 782187"/>
              <a:gd name="connsiteY7" fmla="*/ 228733 h 1695583"/>
              <a:gd name="connsiteX8" fmla="*/ 219391 w 782187"/>
              <a:gd name="connsiteY8" fmla="*/ 266833 h 1695583"/>
              <a:gd name="connsiteX9" fmla="*/ 190816 w 782187"/>
              <a:gd name="connsiteY9" fmla="*/ 285883 h 1695583"/>
              <a:gd name="connsiteX10" fmla="*/ 171766 w 782187"/>
              <a:gd name="connsiteY10" fmla="*/ 323983 h 1695583"/>
              <a:gd name="connsiteX11" fmla="*/ 152716 w 782187"/>
              <a:gd name="connsiteY11" fmla="*/ 352558 h 1695583"/>
              <a:gd name="connsiteX12" fmla="*/ 143191 w 782187"/>
              <a:gd name="connsiteY12" fmla="*/ 381133 h 1695583"/>
              <a:gd name="connsiteX13" fmla="*/ 152716 w 782187"/>
              <a:gd name="connsiteY13" fmla="*/ 524008 h 1695583"/>
              <a:gd name="connsiteX14" fmla="*/ 181291 w 782187"/>
              <a:gd name="connsiteY14" fmla="*/ 543058 h 1695583"/>
              <a:gd name="connsiteX15" fmla="*/ 219391 w 782187"/>
              <a:gd name="connsiteY15" fmla="*/ 600208 h 1695583"/>
              <a:gd name="connsiteX16" fmla="*/ 381316 w 782187"/>
              <a:gd name="connsiteY16" fmla="*/ 581158 h 1695583"/>
              <a:gd name="connsiteX17" fmla="*/ 409891 w 782187"/>
              <a:gd name="connsiteY17" fmla="*/ 562108 h 1695583"/>
              <a:gd name="connsiteX18" fmla="*/ 428941 w 782187"/>
              <a:gd name="connsiteY18" fmla="*/ 533533 h 1695583"/>
              <a:gd name="connsiteX19" fmla="*/ 438466 w 782187"/>
              <a:gd name="connsiteY19" fmla="*/ 504958 h 1695583"/>
              <a:gd name="connsiteX20" fmla="*/ 476566 w 782187"/>
              <a:gd name="connsiteY20" fmla="*/ 495433 h 1695583"/>
              <a:gd name="connsiteX21" fmla="*/ 505141 w 782187"/>
              <a:gd name="connsiteY21" fmla="*/ 485908 h 1695583"/>
              <a:gd name="connsiteX22" fmla="*/ 514666 w 782187"/>
              <a:gd name="connsiteY22" fmla="*/ 514483 h 1695583"/>
              <a:gd name="connsiteX23" fmla="*/ 419416 w 782187"/>
              <a:gd name="connsiteY23" fmla="*/ 552583 h 1695583"/>
              <a:gd name="connsiteX24" fmla="*/ 371791 w 782187"/>
              <a:gd name="connsiteY24" fmla="*/ 562108 h 1695583"/>
              <a:gd name="connsiteX25" fmla="*/ 343216 w 782187"/>
              <a:gd name="connsiteY25" fmla="*/ 619258 h 1695583"/>
              <a:gd name="connsiteX26" fmla="*/ 314641 w 782187"/>
              <a:gd name="connsiteY26" fmla="*/ 638308 h 1695583"/>
              <a:gd name="connsiteX27" fmla="*/ 286066 w 782187"/>
              <a:gd name="connsiteY27" fmla="*/ 647833 h 1695583"/>
              <a:gd name="connsiteX28" fmla="*/ 219391 w 782187"/>
              <a:gd name="connsiteY28" fmla="*/ 638308 h 1695583"/>
              <a:gd name="connsiteX29" fmla="*/ 162241 w 782187"/>
              <a:gd name="connsiteY29" fmla="*/ 600208 h 1695583"/>
              <a:gd name="connsiteX30" fmla="*/ 133666 w 782187"/>
              <a:gd name="connsiteY30" fmla="*/ 581158 h 1695583"/>
              <a:gd name="connsiteX31" fmla="*/ 47941 w 782187"/>
              <a:gd name="connsiteY31" fmla="*/ 571633 h 1695583"/>
              <a:gd name="connsiteX32" fmla="*/ 9841 w 782187"/>
              <a:gd name="connsiteY32" fmla="*/ 581158 h 1695583"/>
              <a:gd name="connsiteX33" fmla="*/ 9841 w 782187"/>
              <a:gd name="connsiteY33" fmla="*/ 647833 h 1695583"/>
              <a:gd name="connsiteX34" fmla="*/ 28891 w 782187"/>
              <a:gd name="connsiteY34" fmla="*/ 743083 h 1695583"/>
              <a:gd name="connsiteX35" fmla="*/ 47941 w 782187"/>
              <a:gd name="connsiteY35" fmla="*/ 771658 h 1695583"/>
              <a:gd name="connsiteX36" fmla="*/ 57466 w 782187"/>
              <a:gd name="connsiteY36" fmla="*/ 819283 h 1695583"/>
              <a:gd name="connsiteX37" fmla="*/ 76516 w 782187"/>
              <a:gd name="connsiteY37" fmla="*/ 952633 h 1695583"/>
              <a:gd name="connsiteX38" fmla="*/ 95566 w 782187"/>
              <a:gd name="connsiteY38" fmla="*/ 1009783 h 1695583"/>
              <a:gd name="connsiteX39" fmla="*/ 247966 w 782187"/>
              <a:gd name="connsiteY39" fmla="*/ 1000258 h 1695583"/>
              <a:gd name="connsiteX40" fmla="*/ 305116 w 782187"/>
              <a:gd name="connsiteY40" fmla="*/ 990733 h 1695583"/>
              <a:gd name="connsiteX41" fmla="*/ 333691 w 782187"/>
              <a:gd name="connsiteY41" fmla="*/ 971683 h 1695583"/>
              <a:gd name="connsiteX42" fmla="*/ 343216 w 782187"/>
              <a:gd name="connsiteY42" fmla="*/ 838333 h 1695583"/>
              <a:gd name="connsiteX43" fmla="*/ 333691 w 782187"/>
              <a:gd name="connsiteY43" fmla="*/ 809758 h 1695583"/>
              <a:gd name="connsiteX44" fmla="*/ 295591 w 782187"/>
              <a:gd name="connsiteY44" fmla="*/ 752608 h 1695583"/>
              <a:gd name="connsiteX45" fmla="*/ 305116 w 782187"/>
              <a:gd name="connsiteY45" fmla="*/ 695458 h 1695583"/>
              <a:gd name="connsiteX46" fmla="*/ 381316 w 782187"/>
              <a:gd name="connsiteY46" fmla="*/ 771658 h 1695583"/>
              <a:gd name="connsiteX47" fmla="*/ 409891 w 782187"/>
              <a:gd name="connsiteY47" fmla="*/ 857383 h 1695583"/>
              <a:gd name="connsiteX48" fmla="*/ 419416 w 782187"/>
              <a:gd name="connsiteY48" fmla="*/ 905008 h 1695583"/>
              <a:gd name="connsiteX49" fmla="*/ 409891 w 782187"/>
              <a:gd name="connsiteY49" fmla="*/ 952633 h 1695583"/>
              <a:gd name="connsiteX50" fmla="*/ 428941 w 782187"/>
              <a:gd name="connsiteY50" fmla="*/ 1066933 h 1695583"/>
              <a:gd name="connsiteX51" fmla="*/ 447991 w 782187"/>
              <a:gd name="connsiteY51" fmla="*/ 1095508 h 1695583"/>
              <a:gd name="connsiteX52" fmla="*/ 409891 w 782187"/>
              <a:gd name="connsiteY52" fmla="*/ 1143133 h 1695583"/>
              <a:gd name="connsiteX53" fmla="*/ 362266 w 782187"/>
              <a:gd name="connsiteY53" fmla="*/ 1152658 h 1695583"/>
              <a:gd name="connsiteX54" fmla="*/ 333691 w 782187"/>
              <a:gd name="connsiteY54" fmla="*/ 1171708 h 1695583"/>
              <a:gd name="connsiteX55" fmla="*/ 305116 w 782187"/>
              <a:gd name="connsiteY55" fmla="*/ 1228858 h 1695583"/>
              <a:gd name="connsiteX56" fmla="*/ 247966 w 782187"/>
              <a:gd name="connsiteY56" fmla="*/ 1247908 h 1695583"/>
              <a:gd name="connsiteX57" fmla="*/ 209866 w 782187"/>
              <a:gd name="connsiteY57" fmla="*/ 1257433 h 1695583"/>
              <a:gd name="connsiteX58" fmla="*/ 152716 w 782187"/>
              <a:gd name="connsiteY58" fmla="*/ 1276483 h 1695583"/>
              <a:gd name="connsiteX59" fmla="*/ 19366 w 782187"/>
              <a:gd name="connsiteY59" fmla="*/ 1276483 h 1695583"/>
              <a:gd name="connsiteX60" fmla="*/ 316 w 782187"/>
              <a:gd name="connsiteY60" fmla="*/ 1305058 h 1695583"/>
              <a:gd name="connsiteX61" fmla="*/ 86041 w 782187"/>
              <a:gd name="connsiteY61" fmla="*/ 1381258 h 1695583"/>
              <a:gd name="connsiteX62" fmla="*/ 124141 w 782187"/>
              <a:gd name="connsiteY62" fmla="*/ 1390783 h 1695583"/>
              <a:gd name="connsiteX63" fmla="*/ 152716 w 782187"/>
              <a:gd name="connsiteY63" fmla="*/ 1419358 h 1695583"/>
              <a:gd name="connsiteX64" fmla="*/ 162241 w 782187"/>
              <a:gd name="connsiteY64" fmla="*/ 1447933 h 1695583"/>
              <a:gd name="connsiteX65" fmla="*/ 181291 w 782187"/>
              <a:gd name="connsiteY65" fmla="*/ 1476508 h 1695583"/>
              <a:gd name="connsiteX66" fmla="*/ 200341 w 782187"/>
              <a:gd name="connsiteY66" fmla="*/ 1533658 h 1695583"/>
              <a:gd name="connsiteX67" fmla="*/ 219391 w 782187"/>
              <a:gd name="connsiteY67" fmla="*/ 1590808 h 1695583"/>
              <a:gd name="connsiteX68" fmla="*/ 228916 w 782187"/>
              <a:gd name="connsiteY68" fmla="*/ 1619383 h 1695583"/>
              <a:gd name="connsiteX69" fmla="*/ 267016 w 782187"/>
              <a:gd name="connsiteY69" fmla="*/ 1676533 h 1695583"/>
              <a:gd name="connsiteX70" fmla="*/ 476566 w 782187"/>
              <a:gd name="connsiteY70" fmla="*/ 1695583 h 1695583"/>
              <a:gd name="connsiteX71" fmla="*/ 733741 w 782187"/>
              <a:gd name="connsiteY71" fmla="*/ 1686058 h 1695583"/>
              <a:gd name="connsiteX72" fmla="*/ 762316 w 782187"/>
              <a:gd name="connsiteY72" fmla="*/ 1676533 h 1695583"/>
              <a:gd name="connsiteX73" fmla="*/ 771841 w 782187"/>
              <a:gd name="connsiteY73" fmla="*/ 1647958 h 1695583"/>
              <a:gd name="connsiteX74" fmla="*/ 771841 w 782187"/>
              <a:gd name="connsiteY74" fmla="*/ 1466983 h 1695583"/>
              <a:gd name="connsiteX75" fmla="*/ 762316 w 782187"/>
              <a:gd name="connsiteY75" fmla="*/ 1428883 h 1695583"/>
              <a:gd name="connsiteX76" fmla="*/ 705166 w 782187"/>
              <a:gd name="connsiteY76" fmla="*/ 1390783 h 1695583"/>
              <a:gd name="connsiteX77" fmla="*/ 600391 w 782187"/>
              <a:gd name="connsiteY77" fmla="*/ 1400308 h 1695583"/>
              <a:gd name="connsiteX78" fmla="*/ 543241 w 782187"/>
              <a:gd name="connsiteY78" fmla="*/ 1419358 h 1695583"/>
              <a:gd name="connsiteX79" fmla="*/ 514666 w 782187"/>
              <a:gd name="connsiteY79" fmla="*/ 1438408 h 1695583"/>
              <a:gd name="connsiteX80" fmla="*/ 486091 w 782187"/>
              <a:gd name="connsiteY80" fmla="*/ 1466983 h 1695583"/>
              <a:gd name="connsiteX81" fmla="*/ 400366 w 782187"/>
              <a:gd name="connsiteY81" fmla="*/ 1457458 h 1695583"/>
              <a:gd name="connsiteX82" fmla="*/ 343216 w 782187"/>
              <a:gd name="connsiteY82" fmla="*/ 1438408 h 1695583"/>
              <a:gd name="connsiteX83" fmla="*/ 286066 w 782187"/>
              <a:gd name="connsiteY83" fmla="*/ 1400308 h 1695583"/>
              <a:gd name="connsiteX84" fmla="*/ 276541 w 782187"/>
              <a:gd name="connsiteY84" fmla="*/ 1371733 h 1695583"/>
              <a:gd name="connsiteX85" fmla="*/ 324166 w 782187"/>
              <a:gd name="connsiteY85" fmla="*/ 1333633 h 1695583"/>
              <a:gd name="connsiteX86" fmla="*/ 381316 w 782187"/>
              <a:gd name="connsiteY86" fmla="*/ 1324108 h 1695583"/>
              <a:gd name="connsiteX87" fmla="*/ 714691 w 782187"/>
              <a:gd name="connsiteY87" fmla="*/ 1295533 h 1695583"/>
              <a:gd name="connsiteX88" fmla="*/ 743266 w 782187"/>
              <a:gd name="connsiteY88" fmla="*/ 1266958 h 1695583"/>
              <a:gd name="connsiteX89" fmla="*/ 743266 w 782187"/>
              <a:gd name="connsiteY89" fmla="*/ 1171708 h 1695583"/>
              <a:gd name="connsiteX90" fmla="*/ 724216 w 782187"/>
              <a:gd name="connsiteY90" fmla="*/ 1143133 h 1695583"/>
              <a:gd name="connsiteX91" fmla="*/ 648016 w 782187"/>
              <a:gd name="connsiteY91" fmla="*/ 1133608 h 1695583"/>
              <a:gd name="connsiteX92" fmla="*/ 619441 w 782187"/>
              <a:gd name="connsiteY92" fmla="*/ 1124083 h 1695583"/>
              <a:gd name="connsiteX93" fmla="*/ 676591 w 782187"/>
              <a:gd name="connsiteY93" fmla="*/ 1095508 h 1695583"/>
              <a:gd name="connsiteX94" fmla="*/ 705166 w 782187"/>
              <a:gd name="connsiteY94" fmla="*/ 1076458 h 1695583"/>
              <a:gd name="connsiteX95" fmla="*/ 714691 w 782187"/>
              <a:gd name="connsiteY95" fmla="*/ 1047883 h 1695583"/>
              <a:gd name="connsiteX96" fmla="*/ 724216 w 782187"/>
              <a:gd name="connsiteY96" fmla="*/ 914533 h 1695583"/>
              <a:gd name="connsiteX97" fmla="*/ 762316 w 782187"/>
              <a:gd name="connsiteY97" fmla="*/ 905008 h 1695583"/>
              <a:gd name="connsiteX98" fmla="*/ 752791 w 782187"/>
              <a:gd name="connsiteY98" fmla="*/ 847858 h 1695583"/>
              <a:gd name="connsiteX99" fmla="*/ 724216 w 782187"/>
              <a:gd name="connsiteY99" fmla="*/ 828808 h 1695583"/>
              <a:gd name="connsiteX100" fmla="*/ 695641 w 782187"/>
              <a:gd name="connsiteY100" fmla="*/ 800233 h 1695583"/>
              <a:gd name="connsiteX101" fmla="*/ 686116 w 782187"/>
              <a:gd name="connsiteY101" fmla="*/ 752608 h 1695583"/>
              <a:gd name="connsiteX102" fmla="*/ 676591 w 782187"/>
              <a:gd name="connsiteY102" fmla="*/ 724033 h 1695583"/>
              <a:gd name="connsiteX103" fmla="*/ 686116 w 782187"/>
              <a:gd name="connsiteY103" fmla="*/ 666883 h 1695583"/>
              <a:gd name="connsiteX104" fmla="*/ 695641 w 782187"/>
              <a:gd name="connsiteY104" fmla="*/ 638308 h 1695583"/>
              <a:gd name="connsiteX105" fmla="*/ 752791 w 782187"/>
              <a:gd name="connsiteY105" fmla="*/ 619258 h 1695583"/>
              <a:gd name="connsiteX106" fmla="*/ 762316 w 782187"/>
              <a:gd name="connsiteY106" fmla="*/ 238258 h 1695583"/>
              <a:gd name="connsiteX107" fmla="*/ 733741 w 782187"/>
              <a:gd name="connsiteY107" fmla="*/ 295408 h 1695583"/>
              <a:gd name="connsiteX108" fmla="*/ 705166 w 782187"/>
              <a:gd name="connsiteY108" fmla="*/ 314458 h 1695583"/>
              <a:gd name="connsiteX109" fmla="*/ 714691 w 782187"/>
              <a:gd name="connsiteY109" fmla="*/ 276358 h 1695583"/>
              <a:gd name="connsiteX110" fmla="*/ 752791 w 782187"/>
              <a:gd name="connsiteY110" fmla="*/ 209683 h 1695583"/>
              <a:gd name="connsiteX111" fmla="*/ 752791 w 782187"/>
              <a:gd name="connsiteY111" fmla="*/ 38233 h 1695583"/>
              <a:gd name="connsiteX112" fmla="*/ 695641 w 782187"/>
              <a:gd name="connsiteY112" fmla="*/ 133 h 1695583"/>
              <a:gd name="connsiteX113" fmla="*/ 676591 w 782187"/>
              <a:gd name="connsiteY113" fmla="*/ 133 h 16955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782187" h="1695583">
                <a:moveTo>
                  <a:pt x="676591" y="133"/>
                </a:moveTo>
                <a:cubicBezTo>
                  <a:pt x="665479" y="1720"/>
                  <a:pt x="644672" y="5731"/>
                  <a:pt x="628966" y="9658"/>
                </a:cubicBezTo>
                <a:cubicBezTo>
                  <a:pt x="619226" y="12093"/>
                  <a:pt x="610236" y="17214"/>
                  <a:pt x="600391" y="19183"/>
                </a:cubicBezTo>
                <a:cubicBezTo>
                  <a:pt x="429746" y="53312"/>
                  <a:pt x="608564" y="9996"/>
                  <a:pt x="495616" y="38233"/>
                </a:cubicBezTo>
                <a:cubicBezTo>
                  <a:pt x="427574" y="83595"/>
                  <a:pt x="460678" y="70780"/>
                  <a:pt x="400366" y="85858"/>
                </a:cubicBezTo>
                <a:cubicBezTo>
                  <a:pt x="374298" y="103237"/>
                  <a:pt x="366109" y="103404"/>
                  <a:pt x="352741" y="133483"/>
                </a:cubicBezTo>
                <a:cubicBezTo>
                  <a:pt x="344586" y="151833"/>
                  <a:pt x="350399" y="179494"/>
                  <a:pt x="333691" y="190633"/>
                </a:cubicBezTo>
                <a:lnTo>
                  <a:pt x="276541" y="228733"/>
                </a:lnTo>
                <a:lnTo>
                  <a:pt x="219391" y="266833"/>
                </a:lnTo>
                <a:lnTo>
                  <a:pt x="190816" y="285883"/>
                </a:lnTo>
                <a:cubicBezTo>
                  <a:pt x="184466" y="298583"/>
                  <a:pt x="178811" y="311655"/>
                  <a:pt x="171766" y="323983"/>
                </a:cubicBezTo>
                <a:cubicBezTo>
                  <a:pt x="166086" y="333922"/>
                  <a:pt x="157836" y="342319"/>
                  <a:pt x="152716" y="352558"/>
                </a:cubicBezTo>
                <a:cubicBezTo>
                  <a:pt x="148226" y="361538"/>
                  <a:pt x="146366" y="371608"/>
                  <a:pt x="143191" y="381133"/>
                </a:cubicBezTo>
                <a:cubicBezTo>
                  <a:pt x="146366" y="428758"/>
                  <a:pt x="141784" y="477546"/>
                  <a:pt x="152716" y="524008"/>
                </a:cubicBezTo>
                <a:cubicBezTo>
                  <a:pt x="155338" y="535151"/>
                  <a:pt x="173753" y="534443"/>
                  <a:pt x="181291" y="543058"/>
                </a:cubicBezTo>
                <a:cubicBezTo>
                  <a:pt x="196368" y="560288"/>
                  <a:pt x="219391" y="600208"/>
                  <a:pt x="219391" y="600208"/>
                </a:cubicBezTo>
                <a:cubicBezTo>
                  <a:pt x="228869" y="599346"/>
                  <a:pt x="352647" y="590714"/>
                  <a:pt x="381316" y="581158"/>
                </a:cubicBezTo>
                <a:cubicBezTo>
                  <a:pt x="392176" y="577538"/>
                  <a:pt x="400366" y="568458"/>
                  <a:pt x="409891" y="562108"/>
                </a:cubicBezTo>
                <a:cubicBezTo>
                  <a:pt x="416241" y="552583"/>
                  <a:pt x="423821" y="543772"/>
                  <a:pt x="428941" y="533533"/>
                </a:cubicBezTo>
                <a:cubicBezTo>
                  <a:pt x="433431" y="524553"/>
                  <a:pt x="430626" y="511230"/>
                  <a:pt x="438466" y="504958"/>
                </a:cubicBezTo>
                <a:cubicBezTo>
                  <a:pt x="448688" y="496780"/>
                  <a:pt x="463979" y="499029"/>
                  <a:pt x="476566" y="495433"/>
                </a:cubicBezTo>
                <a:cubicBezTo>
                  <a:pt x="486220" y="492675"/>
                  <a:pt x="495616" y="489083"/>
                  <a:pt x="505141" y="485908"/>
                </a:cubicBezTo>
                <a:cubicBezTo>
                  <a:pt x="508316" y="495433"/>
                  <a:pt x="517841" y="504958"/>
                  <a:pt x="514666" y="514483"/>
                </a:cubicBezTo>
                <a:cubicBezTo>
                  <a:pt x="501189" y="554914"/>
                  <a:pt x="447804" y="547852"/>
                  <a:pt x="419416" y="552583"/>
                </a:cubicBezTo>
                <a:cubicBezTo>
                  <a:pt x="403447" y="555245"/>
                  <a:pt x="387666" y="558933"/>
                  <a:pt x="371791" y="562108"/>
                </a:cubicBezTo>
                <a:cubicBezTo>
                  <a:pt x="364044" y="585349"/>
                  <a:pt x="361680" y="600794"/>
                  <a:pt x="343216" y="619258"/>
                </a:cubicBezTo>
                <a:cubicBezTo>
                  <a:pt x="335121" y="627353"/>
                  <a:pt x="324880" y="633188"/>
                  <a:pt x="314641" y="638308"/>
                </a:cubicBezTo>
                <a:cubicBezTo>
                  <a:pt x="305661" y="642798"/>
                  <a:pt x="295591" y="644658"/>
                  <a:pt x="286066" y="647833"/>
                </a:cubicBezTo>
                <a:cubicBezTo>
                  <a:pt x="263841" y="644658"/>
                  <a:pt x="240345" y="646367"/>
                  <a:pt x="219391" y="638308"/>
                </a:cubicBezTo>
                <a:cubicBezTo>
                  <a:pt x="198022" y="630089"/>
                  <a:pt x="181291" y="612908"/>
                  <a:pt x="162241" y="600208"/>
                </a:cubicBezTo>
                <a:cubicBezTo>
                  <a:pt x="152716" y="593858"/>
                  <a:pt x="145044" y="582422"/>
                  <a:pt x="133666" y="581158"/>
                </a:cubicBezTo>
                <a:lnTo>
                  <a:pt x="47941" y="571633"/>
                </a:lnTo>
                <a:cubicBezTo>
                  <a:pt x="35241" y="574808"/>
                  <a:pt x="20063" y="572980"/>
                  <a:pt x="9841" y="581158"/>
                </a:cubicBezTo>
                <a:cubicBezTo>
                  <a:pt x="-10780" y="597654"/>
                  <a:pt x="6950" y="631934"/>
                  <a:pt x="9841" y="647833"/>
                </a:cubicBezTo>
                <a:cubicBezTo>
                  <a:pt x="14856" y="675413"/>
                  <a:pt x="14919" y="715138"/>
                  <a:pt x="28891" y="743083"/>
                </a:cubicBezTo>
                <a:cubicBezTo>
                  <a:pt x="34011" y="753322"/>
                  <a:pt x="41591" y="762133"/>
                  <a:pt x="47941" y="771658"/>
                </a:cubicBezTo>
                <a:cubicBezTo>
                  <a:pt x="51116" y="787533"/>
                  <a:pt x="55004" y="803282"/>
                  <a:pt x="57466" y="819283"/>
                </a:cubicBezTo>
                <a:cubicBezTo>
                  <a:pt x="61977" y="848603"/>
                  <a:pt x="68373" y="920062"/>
                  <a:pt x="76516" y="952633"/>
                </a:cubicBezTo>
                <a:cubicBezTo>
                  <a:pt x="81386" y="972114"/>
                  <a:pt x="95566" y="1009783"/>
                  <a:pt x="95566" y="1009783"/>
                </a:cubicBezTo>
                <a:cubicBezTo>
                  <a:pt x="146366" y="1006608"/>
                  <a:pt x="197276" y="1004866"/>
                  <a:pt x="247966" y="1000258"/>
                </a:cubicBezTo>
                <a:cubicBezTo>
                  <a:pt x="267199" y="998510"/>
                  <a:pt x="286794" y="996840"/>
                  <a:pt x="305116" y="990733"/>
                </a:cubicBezTo>
                <a:cubicBezTo>
                  <a:pt x="315976" y="987113"/>
                  <a:pt x="324166" y="978033"/>
                  <a:pt x="333691" y="971683"/>
                </a:cubicBezTo>
                <a:cubicBezTo>
                  <a:pt x="358063" y="898566"/>
                  <a:pt x="358766" y="923856"/>
                  <a:pt x="343216" y="838333"/>
                </a:cubicBezTo>
                <a:cubicBezTo>
                  <a:pt x="341420" y="828455"/>
                  <a:pt x="338567" y="818535"/>
                  <a:pt x="333691" y="809758"/>
                </a:cubicBezTo>
                <a:cubicBezTo>
                  <a:pt x="322572" y="789744"/>
                  <a:pt x="295591" y="752608"/>
                  <a:pt x="295591" y="752608"/>
                </a:cubicBezTo>
                <a:cubicBezTo>
                  <a:pt x="298766" y="733558"/>
                  <a:pt x="286263" y="691268"/>
                  <a:pt x="305116" y="695458"/>
                </a:cubicBezTo>
                <a:cubicBezTo>
                  <a:pt x="340182" y="703250"/>
                  <a:pt x="381316" y="771658"/>
                  <a:pt x="381316" y="771658"/>
                </a:cubicBezTo>
                <a:lnTo>
                  <a:pt x="409891" y="857383"/>
                </a:lnTo>
                <a:cubicBezTo>
                  <a:pt x="415011" y="872742"/>
                  <a:pt x="416241" y="889133"/>
                  <a:pt x="419416" y="905008"/>
                </a:cubicBezTo>
                <a:cubicBezTo>
                  <a:pt x="416241" y="920883"/>
                  <a:pt x="409891" y="936444"/>
                  <a:pt x="409891" y="952633"/>
                </a:cubicBezTo>
                <a:cubicBezTo>
                  <a:pt x="409891" y="973759"/>
                  <a:pt x="414038" y="1037126"/>
                  <a:pt x="428941" y="1066933"/>
                </a:cubicBezTo>
                <a:cubicBezTo>
                  <a:pt x="434061" y="1077172"/>
                  <a:pt x="441641" y="1085983"/>
                  <a:pt x="447991" y="1095508"/>
                </a:cubicBezTo>
                <a:cubicBezTo>
                  <a:pt x="431804" y="1192631"/>
                  <a:pt x="459393" y="1143133"/>
                  <a:pt x="409891" y="1143133"/>
                </a:cubicBezTo>
                <a:cubicBezTo>
                  <a:pt x="393702" y="1143133"/>
                  <a:pt x="378141" y="1149483"/>
                  <a:pt x="362266" y="1152658"/>
                </a:cubicBezTo>
                <a:cubicBezTo>
                  <a:pt x="352741" y="1159008"/>
                  <a:pt x="340842" y="1162769"/>
                  <a:pt x="333691" y="1171708"/>
                </a:cubicBezTo>
                <a:cubicBezTo>
                  <a:pt x="313969" y="1196360"/>
                  <a:pt x="337234" y="1208784"/>
                  <a:pt x="305116" y="1228858"/>
                </a:cubicBezTo>
                <a:cubicBezTo>
                  <a:pt x="288088" y="1239501"/>
                  <a:pt x="267016" y="1241558"/>
                  <a:pt x="247966" y="1247908"/>
                </a:cubicBezTo>
                <a:cubicBezTo>
                  <a:pt x="235547" y="1252048"/>
                  <a:pt x="222405" y="1253671"/>
                  <a:pt x="209866" y="1257433"/>
                </a:cubicBezTo>
                <a:cubicBezTo>
                  <a:pt x="190632" y="1263203"/>
                  <a:pt x="152716" y="1276483"/>
                  <a:pt x="152716" y="1276483"/>
                </a:cubicBezTo>
                <a:cubicBezTo>
                  <a:pt x="101984" y="1259572"/>
                  <a:pt x="95326" y="1253111"/>
                  <a:pt x="19366" y="1276483"/>
                </a:cubicBezTo>
                <a:cubicBezTo>
                  <a:pt x="8425" y="1279850"/>
                  <a:pt x="6666" y="1295533"/>
                  <a:pt x="316" y="1305058"/>
                </a:cubicBezTo>
                <a:cubicBezTo>
                  <a:pt x="15560" y="1320302"/>
                  <a:pt x="56296" y="1368510"/>
                  <a:pt x="86041" y="1381258"/>
                </a:cubicBezTo>
                <a:cubicBezTo>
                  <a:pt x="98073" y="1386415"/>
                  <a:pt x="111441" y="1387608"/>
                  <a:pt x="124141" y="1390783"/>
                </a:cubicBezTo>
                <a:cubicBezTo>
                  <a:pt x="133666" y="1400308"/>
                  <a:pt x="145244" y="1408150"/>
                  <a:pt x="152716" y="1419358"/>
                </a:cubicBezTo>
                <a:cubicBezTo>
                  <a:pt x="158285" y="1427712"/>
                  <a:pt x="157751" y="1438953"/>
                  <a:pt x="162241" y="1447933"/>
                </a:cubicBezTo>
                <a:cubicBezTo>
                  <a:pt x="167361" y="1458172"/>
                  <a:pt x="176642" y="1466047"/>
                  <a:pt x="181291" y="1476508"/>
                </a:cubicBezTo>
                <a:cubicBezTo>
                  <a:pt x="189446" y="1494858"/>
                  <a:pt x="193991" y="1514608"/>
                  <a:pt x="200341" y="1533658"/>
                </a:cubicBezTo>
                <a:lnTo>
                  <a:pt x="219391" y="1590808"/>
                </a:lnTo>
                <a:lnTo>
                  <a:pt x="228916" y="1619383"/>
                </a:lnTo>
                <a:cubicBezTo>
                  <a:pt x="235104" y="1637946"/>
                  <a:pt x="241534" y="1671437"/>
                  <a:pt x="267016" y="1676533"/>
                </a:cubicBezTo>
                <a:cubicBezTo>
                  <a:pt x="335792" y="1690288"/>
                  <a:pt x="406716" y="1689233"/>
                  <a:pt x="476566" y="1695583"/>
                </a:cubicBezTo>
                <a:cubicBezTo>
                  <a:pt x="562291" y="1692408"/>
                  <a:pt x="648147" y="1691764"/>
                  <a:pt x="733741" y="1686058"/>
                </a:cubicBezTo>
                <a:cubicBezTo>
                  <a:pt x="743759" y="1685390"/>
                  <a:pt x="755216" y="1683633"/>
                  <a:pt x="762316" y="1676533"/>
                </a:cubicBezTo>
                <a:cubicBezTo>
                  <a:pt x="769416" y="1669433"/>
                  <a:pt x="768666" y="1657483"/>
                  <a:pt x="771841" y="1647958"/>
                </a:cubicBezTo>
                <a:cubicBezTo>
                  <a:pt x="784989" y="1555920"/>
                  <a:pt x="786268" y="1582396"/>
                  <a:pt x="771841" y="1466983"/>
                </a:cubicBezTo>
                <a:cubicBezTo>
                  <a:pt x="770217" y="1453993"/>
                  <a:pt x="770936" y="1438735"/>
                  <a:pt x="762316" y="1428883"/>
                </a:cubicBezTo>
                <a:cubicBezTo>
                  <a:pt x="747239" y="1411653"/>
                  <a:pt x="705166" y="1390783"/>
                  <a:pt x="705166" y="1390783"/>
                </a:cubicBezTo>
                <a:cubicBezTo>
                  <a:pt x="670241" y="1393958"/>
                  <a:pt x="634926" y="1394214"/>
                  <a:pt x="600391" y="1400308"/>
                </a:cubicBezTo>
                <a:cubicBezTo>
                  <a:pt x="580616" y="1403798"/>
                  <a:pt x="543241" y="1419358"/>
                  <a:pt x="543241" y="1419358"/>
                </a:cubicBezTo>
                <a:cubicBezTo>
                  <a:pt x="533716" y="1425708"/>
                  <a:pt x="523460" y="1431079"/>
                  <a:pt x="514666" y="1438408"/>
                </a:cubicBezTo>
                <a:cubicBezTo>
                  <a:pt x="504318" y="1447032"/>
                  <a:pt x="499378" y="1464768"/>
                  <a:pt x="486091" y="1466983"/>
                </a:cubicBezTo>
                <a:cubicBezTo>
                  <a:pt x="457731" y="1471710"/>
                  <a:pt x="428941" y="1460633"/>
                  <a:pt x="400366" y="1457458"/>
                </a:cubicBezTo>
                <a:lnTo>
                  <a:pt x="343216" y="1438408"/>
                </a:lnTo>
                <a:cubicBezTo>
                  <a:pt x="321496" y="1431168"/>
                  <a:pt x="286066" y="1400308"/>
                  <a:pt x="286066" y="1400308"/>
                </a:cubicBezTo>
                <a:cubicBezTo>
                  <a:pt x="282891" y="1390783"/>
                  <a:pt x="274890" y="1381637"/>
                  <a:pt x="276541" y="1371733"/>
                </a:cubicBezTo>
                <a:cubicBezTo>
                  <a:pt x="281121" y="1344253"/>
                  <a:pt x="302306" y="1338491"/>
                  <a:pt x="324166" y="1333633"/>
                </a:cubicBezTo>
                <a:cubicBezTo>
                  <a:pt x="343019" y="1329443"/>
                  <a:pt x="362152" y="1326503"/>
                  <a:pt x="381316" y="1324108"/>
                </a:cubicBezTo>
                <a:cubicBezTo>
                  <a:pt x="559242" y="1301867"/>
                  <a:pt x="539803" y="1305821"/>
                  <a:pt x="714691" y="1295533"/>
                </a:cubicBezTo>
                <a:cubicBezTo>
                  <a:pt x="724216" y="1286008"/>
                  <a:pt x="735794" y="1278166"/>
                  <a:pt x="743266" y="1266958"/>
                </a:cubicBezTo>
                <a:cubicBezTo>
                  <a:pt x="761337" y="1239852"/>
                  <a:pt x="750977" y="1197412"/>
                  <a:pt x="743266" y="1171708"/>
                </a:cubicBezTo>
                <a:cubicBezTo>
                  <a:pt x="739977" y="1160743"/>
                  <a:pt x="734845" y="1147385"/>
                  <a:pt x="724216" y="1143133"/>
                </a:cubicBezTo>
                <a:cubicBezTo>
                  <a:pt x="700449" y="1133626"/>
                  <a:pt x="673416" y="1136783"/>
                  <a:pt x="648016" y="1133608"/>
                </a:cubicBezTo>
                <a:cubicBezTo>
                  <a:pt x="638491" y="1130433"/>
                  <a:pt x="619441" y="1134123"/>
                  <a:pt x="619441" y="1124083"/>
                </a:cubicBezTo>
                <a:cubicBezTo>
                  <a:pt x="619441" y="1111773"/>
                  <a:pt x="669545" y="1097857"/>
                  <a:pt x="676591" y="1095508"/>
                </a:cubicBezTo>
                <a:cubicBezTo>
                  <a:pt x="686116" y="1089158"/>
                  <a:pt x="698015" y="1085397"/>
                  <a:pt x="705166" y="1076458"/>
                </a:cubicBezTo>
                <a:cubicBezTo>
                  <a:pt x="711438" y="1068618"/>
                  <a:pt x="713518" y="1057854"/>
                  <a:pt x="714691" y="1047883"/>
                </a:cubicBezTo>
                <a:cubicBezTo>
                  <a:pt x="719898" y="1003625"/>
                  <a:pt x="710124" y="956809"/>
                  <a:pt x="724216" y="914533"/>
                </a:cubicBezTo>
                <a:cubicBezTo>
                  <a:pt x="728356" y="902114"/>
                  <a:pt x="749616" y="908183"/>
                  <a:pt x="762316" y="905008"/>
                </a:cubicBezTo>
                <a:cubicBezTo>
                  <a:pt x="759141" y="885958"/>
                  <a:pt x="761428" y="865132"/>
                  <a:pt x="752791" y="847858"/>
                </a:cubicBezTo>
                <a:cubicBezTo>
                  <a:pt x="747671" y="837619"/>
                  <a:pt x="733010" y="836137"/>
                  <a:pt x="724216" y="828808"/>
                </a:cubicBezTo>
                <a:cubicBezTo>
                  <a:pt x="713868" y="820184"/>
                  <a:pt x="705166" y="809758"/>
                  <a:pt x="695641" y="800233"/>
                </a:cubicBezTo>
                <a:cubicBezTo>
                  <a:pt x="692466" y="784358"/>
                  <a:pt x="690043" y="768314"/>
                  <a:pt x="686116" y="752608"/>
                </a:cubicBezTo>
                <a:cubicBezTo>
                  <a:pt x="683681" y="742868"/>
                  <a:pt x="676591" y="734073"/>
                  <a:pt x="676591" y="724033"/>
                </a:cubicBezTo>
                <a:cubicBezTo>
                  <a:pt x="676591" y="704720"/>
                  <a:pt x="681926" y="685736"/>
                  <a:pt x="686116" y="666883"/>
                </a:cubicBezTo>
                <a:cubicBezTo>
                  <a:pt x="688294" y="657082"/>
                  <a:pt x="687471" y="644144"/>
                  <a:pt x="695641" y="638308"/>
                </a:cubicBezTo>
                <a:cubicBezTo>
                  <a:pt x="711981" y="626636"/>
                  <a:pt x="752791" y="619258"/>
                  <a:pt x="752791" y="619258"/>
                </a:cubicBezTo>
                <a:cubicBezTo>
                  <a:pt x="805993" y="459653"/>
                  <a:pt x="772431" y="582180"/>
                  <a:pt x="762316" y="238258"/>
                </a:cubicBezTo>
                <a:cubicBezTo>
                  <a:pt x="754569" y="261499"/>
                  <a:pt x="752205" y="276944"/>
                  <a:pt x="733741" y="295408"/>
                </a:cubicBezTo>
                <a:cubicBezTo>
                  <a:pt x="725646" y="303503"/>
                  <a:pt x="714691" y="308108"/>
                  <a:pt x="705166" y="314458"/>
                </a:cubicBezTo>
                <a:cubicBezTo>
                  <a:pt x="708341" y="301758"/>
                  <a:pt x="708837" y="288067"/>
                  <a:pt x="714691" y="276358"/>
                </a:cubicBezTo>
                <a:cubicBezTo>
                  <a:pt x="772356" y="161028"/>
                  <a:pt x="723658" y="297083"/>
                  <a:pt x="752791" y="209683"/>
                </a:cubicBezTo>
                <a:cubicBezTo>
                  <a:pt x="753265" y="203995"/>
                  <a:pt x="773984" y="68508"/>
                  <a:pt x="752791" y="38233"/>
                </a:cubicBezTo>
                <a:cubicBezTo>
                  <a:pt x="739661" y="19476"/>
                  <a:pt x="695641" y="133"/>
                  <a:pt x="695641" y="133"/>
                </a:cubicBezTo>
                <a:cubicBezTo>
                  <a:pt x="660331" y="11903"/>
                  <a:pt x="687703" y="-1454"/>
                  <a:pt x="676591" y="133"/>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xdr:cNvSpPr/>
        </xdr:nvSpPr>
        <xdr:spPr>
          <a:xfrm>
            <a:off x="3885098" y="14071491"/>
            <a:ext cx="229842" cy="372113"/>
          </a:xfrm>
          <a:custGeom>
            <a:avLst/>
            <a:gdLst>
              <a:gd name="connsiteX0" fmla="*/ 191042 w 229842"/>
              <a:gd name="connsiteY0" fmla="*/ 19192 h 381180"/>
              <a:gd name="connsiteX1" fmla="*/ 105317 w 229842"/>
              <a:gd name="connsiteY1" fmla="*/ 19192 h 381180"/>
              <a:gd name="connsiteX2" fmla="*/ 76742 w 229842"/>
              <a:gd name="connsiteY2" fmla="*/ 47767 h 381180"/>
              <a:gd name="connsiteX3" fmla="*/ 67217 w 229842"/>
              <a:gd name="connsiteY3" fmla="*/ 171592 h 381180"/>
              <a:gd name="connsiteX4" fmla="*/ 10067 w 229842"/>
              <a:gd name="connsiteY4" fmla="*/ 190642 h 381180"/>
              <a:gd name="connsiteX5" fmla="*/ 542 w 229842"/>
              <a:gd name="connsiteY5" fmla="*/ 219217 h 381180"/>
              <a:gd name="connsiteX6" fmla="*/ 10067 w 229842"/>
              <a:gd name="connsiteY6" fmla="*/ 323992 h 381180"/>
              <a:gd name="connsiteX7" fmla="*/ 48167 w 229842"/>
              <a:gd name="connsiteY7" fmla="*/ 333517 h 381180"/>
              <a:gd name="connsiteX8" fmla="*/ 105317 w 229842"/>
              <a:gd name="connsiteY8" fmla="*/ 343042 h 381180"/>
              <a:gd name="connsiteX9" fmla="*/ 124367 w 229842"/>
              <a:gd name="connsiteY9" fmla="*/ 371617 h 381180"/>
              <a:gd name="connsiteX10" fmla="*/ 210092 w 229842"/>
              <a:gd name="connsiteY10" fmla="*/ 371617 h 381180"/>
              <a:gd name="connsiteX11" fmla="*/ 229142 w 229842"/>
              <a:gd name="connsiteY11" fmla="*/ 343042 h 381180"/>
              <a:gd name="connsiteX12" fmla="*/ 210092 w 229842"/>
              <a:gd name="connsiteY12" fmla="*/ 152542 h 381180"/>
              <a:gd name="connsiteX13" fmla="*/ 171992 w 229842"/>
              <a:gd name="connsiteY13" fmla="*/ 142 h 381180"/>
              <a:gd name="connsiteX14" fmla="*/ 191042 w 229842"/>
              <a:gd name="connsiteY14" fmla="*/ 19192 h 381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29842" h="381180">
                <a:moveTo>
                  <a:pt x="191042" y="19192"/>
                </a:moveTo>
                <a:cubicBezTo>
                  <a:pt x="179929" y="22367"/>
                  <a:pt x="136704" y="1257"/>
                  <a:pt x="105317" y="19192"/>
                </a:cubicBezTo>
                <a:cubicBezTo>
                  <a:pt x="93621" y="25875"/>
                  <a:pt x="86267" y="38242"/>
                  <a:pt x="76742" y="47767"/>
                </a:cubicBezTo>
                <a:cubicBezTo>
                  <a:pt x="73567" y="89042"/>
                  <a:pt x="84723" y="134079"/>
                  <a:pt x="67217" y="171592"/>
                </a:cubicBezTo>
                <a:cubicBezTo>
                  <a:pt x="58725" y="189789"/>
                  <a:pt x="10067" y="190642"/>
                  <a:pt x="10067" y="190642"/>
                </a:cubicBezTo>
                <a:cubicBezTo>
                  <a:pt x="6892" y="200167"/>
                  <a:pt x="542" y="209177"/>
                  <a:pt x="542" y="219217"/>
                </a:cubicBezTo>
                <a:cubicBezTo>
                  <a:pt x="542" y="254286"/>
                  <a:pt x="-3421" y="291621"/>
                  <a:pt x="10067" y="323992"/>
                </a:cubicBezTo>
                <a:cubicBezTo>
                  <a:pt x="15102" y="336076"/>
                  <a:pt x="35330" y="330950"/>
                  <a:pt x="48167" y="333517"/>
                </a:cubicBezTo>
                <a:cubicBezTo>
                  <a:pt x="67105" y="337305"/>
                  <a:pt x="86267" y="339867"/>
                  <a:pt x="105317" y="343042"/>
                </a:cubicBezTo>
                <a:cubicBezTo>
                  <a:pt x="111667" y="352567"/>
                  <a:pt x="115428" y="364466"/>
                  <a:pt x="124367" y="371617"/>
                </a:cubicBezTo>
                <a:cubicBezTo>
                  <a:pt x="148624" y="391023"/>
                  <a:pt x="186587" y="375535"/>
                  <a:pt x="210092" y="371617"/>
                </a:cubicBezTo>
                <a:cubicBezTo>
                  <a:pt x="216442" y="362092"/>
                  <a:pt x="228470" y="354470"/>
                  <a:pt x="229142" y="343042"/>
                </a:cubicBezTo>
                <a:cubicBezTo>
                  <a:pt x="232934" y="278584"/>
                  <a:pt x="220576" y="215444"/>
                  <a:pt x="210092" y="152542"/>
                </a:cubicBezTo>
                <a:cubicBezTo>
                  <a:pt x="203162" y="62451"/>
                  <a:pt x="228659" y="42642"/>
                  <a:pt x="171992" y="142"/>
                </a:cubicBezTo>
                <a:cubicBezTo>
                  <a:pt x="169452" y="-1763"/>
                  <a:pt x="202155" y="16017"/>
                  <a:pt x="191042" y="19192"/>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Freeform 91"/>
          <xdr:cNvSpPr/>
        </xdr:nvSpPr>
        <xdr:spPr>
          <a:xfrm>
            <a:off x="3808229" y="13590164"/>
            <a:ext cx="267911" cy="263974"/>
          </a:xfrm>
          <a:custGeom>
            <a:avLst/>
            <a:gdLst>
              <a:gd name="connsiteX0" fmla="*/ 182186 w 267911"/>
              <a:gd name="connsiteY0" fmla="*/ 10822 h 267997"/>
              <a:gd name="connsiteX1" fmla="*/ 134561 w 267911"/>
              <a:gd name="connsiteY1" fmla="*/ 1297 h 267997"/>
              <a:gd name="connsiteX2" fmla="*/ 125036 w 267911"/>
              <a:gd name="connsiteY2" fmla="*/ 29872 h 267997"/>
              <a:gd name="connsiteX3" fmla="*/ 153611 w 267911"/>
              <a:gd name="connsiteY3" fmla="*/ 115597 h 267997"/>
              <a:gd name="connsiteX4" fmla="*/ 125036 w 267911"/>
              <a:gd name="connsiteY4" fmla="*/ 125122 h 267997"/>
              <a:gd name="connsiteX5" fmla="*/ 39311 w 267911"/>
              <a:gd name="connsiteY5" fmla="*/ 77497 h 267997"/>
              <a:gd name="connsiteX6" fmla="*/ 10736 w 267911"/>
              <a:gd name="connsiteY6" fmla="*/ 58447 h 267997"/>
              <a:gd name="connsiteX7" fmla="*/ 10736 w 267911"/>
              <a:gd name="connsiteY7" fmla="*/ 125122 h 267997"/>
              <a:gd name="connsiteX8" fmla="*/ 39311 w 267911"/>
              <a:gd name="connsiteY8" fmla="*/ 134647 h 267997"/>
              <a:gd name="connsiteX9" fmla="*/ 67886 w 267911"/>
              <a:gd name="connsiteY9" fmla="*/ 163222 h 267997"/>
              <a:gd name="connsiteX10" fmla="*/ 115511 w 267911"/>
              <a:gd name="connsiteY10" fmla="*/ 172747 h 267997"/>
              <a:gd name="connsiteX11" fmla="*/ 134561 w 267911"/>
              <a:gd name="connsiteY11" fmla="*/ 229897 h 267997"/>
              <a:gd name="connsiteX12" fmla="*/ 191711 w 267911"/>
              <a:gd name="connsiteY12" fmla="*/ 267997 h 267997"/>
              <a:gd name="connsiteX13" fmla="*/ 229811 w 267911"/>
              <a:gd name="connsiteY13" fmla="*/ 258472 h 267997"/>
              <a:gd name="connsiteX14" fmla="*/ 248861 w 267911"/>
              <a:gd name="connsiteY14" fmla="*/ 201322 h 267997"/>
              <a:gd name="connsiteX15" fmla="*/ 267911 w 267911"/>
              <a:gd name="connsiteY15" fmla="*/ 172747 h 267997"/>
              <a:gd name="connsiteX16" fmla="*/ 258386 w 267911"/>
              <a:gd name="connsiteY16" fmla="*/ 58447 h 267997"/>
              <a:gd name="connsiteX17" fmla="*/ 248861 w 267911"/>
              <a:gd name="connsiteY17" fmla="*/ 29872 h 267997"/>
              <a:gd name="connsiteX18" fmla="*/ 182186 w 267911"/>
              <a:gd name="connsiteY18" fmla="*/ 20347 h 267997"/>
              <a:gd name="connsiteX19" fmla="*/ 182186 w 267911"/>
              <a:gd name="connsiteY19" fmla="*/ 10822 h 267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67911" h="267997">
                <a:moveTo>
                  <a:pt x="182186" y="10822"/>
                </a:moveTo>
                <a:cubicBezTo>
                  <a:pt x="166311" y="7647"/>
                  <a:pt x="149920" y="-3823"/>
                  <a:pt x="134561" y="1297"/>
                </a:cubicBezTo>
                <a:cubicBezTo>
                  <a:pt x="125036" y="4472"/>
                  <a:pt x="125036" y="19832"/>
                  <a:pt x="125036" y="29872"/>
                </a:cubicBezTo>
                <a:cubicBezTo>
                  <a:pt x="125036" y="81203"/>
                  <a:pt x="130610" y="81095"/>
                  <a:pt x="153611" y="115597"/>
                </a:cubicBezTo>
                <a:cubicBezTo>
                  <a:pt x="144086" y="118772"/>
                  <a:pt x="135076" y="125122"/>
                  <a:pt x="125036" y="125122"/>
                </a:cubicBezTo>
                <a:cubicBezTo>
                  <a:pt x="99888" y="125122"/>
                  <a:pt x="47469" y="82936"/>
                  <a:pt x="39311" y="77497"/>
                </a:cubicBezTo>
                <a:lnTo>
                  <a:pt x="10736" y="58447"/>
                </a:lnTo>
                <a:cubicBezTo>
                  <a:pt x="3007" y="81635"/>
                  <a:pt x="-8963" y="100498"/>
                  <a:pt x="10736" y="125122"/>
                </a:cubicBezTo>
                <a:cubicBezTo>
                  <a:pt x="17008" y="132962"/>
                  <a:pt x="29786" y="131472"/>
                  <a:pt x="39311" y="134647"/>
                </a:cubicBezTo>
                <a:cubicBezTo>
                  <a:pt x="48836" y="144172"/>
                  <a:pt x="55838" y="157198"/>
                  <a:pt x="67886" y="163222"/>
                </a:cubicBezTo>
                <a:cubicBezTo>
                  <a:pt x="82366" y="170462"/>
                  <a:pt x="104063" y="161299"/>
                  <a:pt x="115511" y="172747"/>
                </a:cubicBezTo>
                <a:cubicBezTo>
                  <a:pt x="129710" y="186946"/>
                  <a:pt x="117853" y="218758"/>
                  <a:pt x="134561" y="229897"/>
                </a:cubicBezTo>
                <a:lnTo>
                  <a:pt x="191711" y="267997"/>
                </a:lnTo>
                <a:cubicBezTo>
                  <a:pt x="204411" y="264822"/>
                  <a:pt x="221292" y="268411"/>
                  <a:pt x="229811" y="258472"/>
                </a:cubicBezTo>
                <a:cubicBezTo>
                  <a:pt x="242879" y="243226"/>
                  <a:pt x="237722" y="218030"/>
                  <a:pt x="248861" y="201322"/>
                </a:cubicBezTo>
                <a:lnTo>
                  <a:pt x="267911" y="172747"/>
                </a:lnTo>
                <a:cubicBezTo>
                  <a:pt x="264736" y="134647"/>
                  <a:pt x="263439" y="96344"/>
                  <a:pt x="258386" y="58447"/>
                </a:cubicBezTo>
                <a:cubicBezTo>
                  <a:pt x="257059" y="48495"/>
                  <a:pt x="257841" y="34362"/>
                  <a:pt x="248861" y="29872"/>
                </a:cubicBezTo>
                <a:cubicBezTo>
                  <a:pt x="228781" y="19832"/>
                  <a:pt x="204411" y="23522"/>
                  <a:pt x="182186" y="20347"/>
                </a:cubicBezTo>
                <a:lnTo>
                  <a:pt x="182186" y="10822"/>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Freeform 92"/>
          <xdr:cNvSpPr/>
        </xdr:nvSpPr>
        <xdr:spPr>
          <a:xfrm>
            <a:off x="5000625" y="15278619"/>
            <a:ext cx="463185" cy="376704"/>
          </a:xfrm>
          <a:custGeom>
            <a:avLst/>
            <a:gdLst>
              <a:gd name="connsiteX0" fmla="*/ 9525 w 463185"/>
              <a:gd name="connsiteY0" fmla="*/ 5644 h 386789"/>
              <a:gd name="connsiteX1" fmla="*/ 19050 w 463185"/>
              <a:gd name="connsiteY1" fmla="*/ 81844 h 386789"/>
              <a:gd name="connsiteX2" fmla="*/ 38100 w 463185"/>
              <a:gd name="connsiteY2" fmla="*/ 110419 h 386789"/>
              <a:gd name="connsiteX3" fmla="*/ 47625 w 463185"/>
              <a:gd name="connsiteY3" fmla="*/ 138994 h 386789"/>
              <a:gd name="connsiteX4" fmla="*/ 38100 w 463185"/>
              <a:gd name="connsiteY4" fmla="*/ 262819 h 386789"/>
              <a:gd name="connsiteX5" fmla="*/ 9525 w 463185"/>
              <a:gd name="connsiteY5" fmla="*/ 281869 h 386789"/>
              <a:gd name="connsiteX6" fmla="*/ 0 w 463185"/>
              <a:gd name="connsiteY6" fmla="*/ 310444 h 386789"/>
              <a:gd name="connsiteX7" fmla="*/ 9525 w 463185"/>
              <a:gd name="connsiteY7" fmla="*/ 348544 h 386789"/>
              <a:gd name="connsiteX8" fmla="*/ 76200 w 463185"/>
              <a:gd name="connsiteY8" fmla="*/ 329494 h 386789"/>
              <a:gd name="connsiteX9" fmla="*/ 142875 w 463185"/>
              <a:gd name="connsiteY9" fmla="*/ 377119 h 386789"/>
              <a:gd name="connsiteX10" fmla="*/ 161925 w 463185"/>
              <a:gd name="connsiteY10" fmla="*/ 348544 h 386789"/>
              <a:gd name="connsiteX11" fmla="*/ 219075 w 463185"/>
              <a:gd name="connsiteY11" fmla="*/ 300919 h 386789"/>
              <a:gd name="connsiteX12" fmla="*/ 266700 w 463185"/>
              <a:gd name="connsiteY12" fmla="*/ 243769 h 386789"/>
              <a:gd name="connsiteX13" fmla="*/ 314325 w 463185"/>
              <a:gd name="connsiteY13" fmla="*/ 234244 h 386789"/>
              <a:gd name="connsiteX14" fmla="*/ 342900 w 463185"/>
              <a:gd name="connsiteY14" fmla="*/ 224719 h 386789"/>
              <a:gd name="connsiteX15" fmla="*/ 457200 w 463185"/>
              <a:gd name="connsiteY15" fmla="*/ 234244 h 386789"/>
              <a:gd name="connsiteX16" fmla="*/ 447675 w 463185"/>
              <a:gd name="connsiteY16" fmla="*/ 177094 h 386789"/>
              <a:gd name="connsiteX17" fmla="*/ 361950 w 463185"/>
              <a:gd name="connsiteY17" fmla="*/ 138994 h 386789"/>
              <a:gd name="connsiteX18" fmla="*/ 333375 w 463185"/>
              <a:gd name="connsiteY18" fmla="*/ 129469 h 386789"/>
              <a:gd name="connsiteX19" fmla="*/ 247650 w 463185"/>
              <a:gd name="connsiteY19" fmla="*/ 81844 h 386789"/>
              <a:gd name="connsiteX20" fmla="*/ 219075 w 463185"/>
              <a:gd name="connsiteY20" fmla="*/ 62794 h 386789"/>
              <a:gd name="connsiteX21" fmla="*/ 161925 w 463185"/>
              <a:gd name="connsiteY21" fmla="*/ 43744 h 386789"/>
              <a:gd name="connsiteX22" fmla="*/ 133350 w 463185"/>
              <a:gd name="connsiteY22" fmla="*/ 34219 h 386789"/>
              <a:gd name="connsiteX23" fmla="*/ 85725 w 463185"/>
              <a:gd name="connsiteY23" fmla="*/ 24694 h 386789"/>
              <a:gd name="connsiteX24" fmla="*/ 19050 w 463185"/>
              <a:gd name="connsiteY24" fmla="*/ 5644 h 386789"/>
              <a:gd name="connsiteX25" fmla="*/ 9525 w 463185"/>
              <a:gd name="connsiteY25" fmla="*/ 5644 h 3867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63185" h="386789">
                <a:moveTo>
                  <a:pt x="9525" y="5644"/>
                </a:moveTo>
                <a:cubicBezTo>
                  <a:pt x="9525" y="18344"/>
                  <a:pt x="12315" y="57148"/>
                  <a:pt x="19050" y="81844"/>
                </a:cubicBezTo>
                <a:cubicBezTo>
                  <a:pt x="22062" y="92888"/>
                  <a:pt x="32980" y="100180"/>
                  <a:pt x="38100" y="110419"/>
                </a:cubicBezTo>
                <a:cubicBezTo>
                  <a:pt x="42590" y="119399"/>
                  <a:pt x="44450" y="129469"/>
                  <a:pt x="47625" y="138994"/>
                </a:cubicBezTo>
                <a:cubicBezTo>
                  <a:pt x="44450" y="180269"/>
                  <a:pt x="48766" y="222820"/>
                  <a:pt x="38100" y="262819"/>
                </a:cubicBezTo>
                <a:cubicBezTo>
                  <a:pt x="35150" y="273880"/>
                  <a:pt x="16676" y="272930"/>
                  <a:pt x="9525" y="281869"/>
                </a:cubicBezTo>
                <a:cubicBezTo>
                  <a:pt x="3253" y="289709"/>
                  <a:pt x="3175" y="300919"/>
                  <a:pt x="0" y="310444"/>
                </a:cubicBezTo>
                <a:cubicBezTo>
                  <a:pt x="3175" y="323144"/>
                  <a:pt x="-1700" y="341809"/>
                  <a:pt x="9525" y="348544"/>
                </a:cubicBezTo>
                <a:cubicBezTo>
                  <a:pt x="13796" y="351107"/>
                  <a:pt x="68622" y="332020"/>
                  <a:pt x="76200" y="329494"/>
                </a:cubicBezTo>
                <a:cubicBezTo>
                  <a:pt x="119869" y="394998"/>
                  <a:pt x="92580" y="393884"/>
                  <a:pt x="142875" y="377119"/>
                </a:cubicBezTo>
                <a:cubicBezTo>
                  <a:pt x="149225" y="367594"/>
                  <a:pt x="154596" y="357338"/>
                  <a:pt x="161925" y="348544"/>
                </a:cubicBezTo>
                <a:cubicBezTo>
                  <a:pt x="184844" y="321042"/>
                  <a:pt x="190978" y="319650"/>
                  <a:pt x="219075" y="300919"/>
                </a:cubicBezTo>
                <a:cubicBezTo>
                  <a:pt x="230015" y="284508"/>
                  <a:pt x="248365" y="252936"/>
                  <a:pt x="266700" y="243769"/>
                </a:cubicBezTo>
                <a:cubicBezTo>
                  <a:pt x="281180" y="236529"/>
                  <a:pt x="298619" y="238171"/>
                  <a:pt x="314325" y="234244"/>
                </a:cubicBezTo>
                <a:cubicBezTo>
                  <a:pt x="324065" y="231809"/>
                  <a:pt x="333375" y="227894"/>
                  <a:pt x="342900" y="224719"/>
                </a:cubicBezTo>
                <a:cubicBezTo>
                  <a:pt x="376240" y="246946"/>
                  <a:pt x="408211" y="277109"/>
                  <a:pt x="457200" y="234244"/>
                </a:cubicBezTo>
                <a:cubicBezTo>
                  <a:pt x="471734" y="221526"/>
                  <a:pt x="456312" y="194368"/>
                  <a:pt x="447675" y="177094"/>
                </a:cubicBezTo>
                <a:cubicBezTo>
                  <a:pt x="438618" y="158981"/>
                  <a:pt x="366415" y="140482"/>
                  <a:pt x="361950" y="138994"/>
                </a:cubicBezTo>
                <a:lnTo>
                  <a:pt x="333375" y="129469"/>
                </a:lnTo>
                <a:cubicBezTo>
                  <a:pt x="267871" y="85800"/>
                  <a:pt x="297945" y="98609"/>
                  <a:pt x="247650" y="81844"/>
                </a:cubicBezTo>
                <a:cubicBezTo>
                  <a:pt x="238125" y="75494"/>
                  <a:pt x="229536" y="67443"/>
                  <a:pt x="219075" y="62794"/>
                </a:cubicBezTo>
                <a:cubicBezTo>
                  <a:pt x="200725" y="54639"/>
                  <a:pt x="180975" y="50094"/>
                  <a:pt x="161925" y="43744"/>
                </a:cubicBezTo>
                <a:lnTo>
                  <a:pt x="133350" y="34219"/>
                </a:lnTo>
                <a:cubicBezTo>
                  <a:pt x="117991" y="29099"/>
                  <a:pt x="101431" y="28621"/>
                  <a:pt x="85725" y="24694"/>
                </a:cubicBezTo>
                <a:cubicBezTo>
                  <a:pt x="67758" y="20202"/>
                  <a:pt x="36867" y="5644"/>
                  <a:pt x="19050" y="5644"/>
                </a:cubicBezTo>
                <a:cubicBezTo>
                  <a:pt x="14560" y="5644"/>
                  <a:pt x="9525" y="-7056"/>
                  <a:pt x="9525" y="5644"/>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221068</xdr:colOff>
      <xdr:row>108</xdr:row>
      <xdr:rowOff>44435</xdr:rowOff>
    </xdr:from>
    <xdr:to>
      <xdr:col>14</xdr:col>
      <xdr:colOff>487648</xdr:colOff>
      <xdr:row>108</xdr:row>
      <xdr:rowOff>145676</xdr:rowOff>
    </xdr:to>
    <xdr:sp macro="" textlink="">
      <xdr:nvSpPr>
        <xdr:cNvPr id="94" name="Prince_Edward_Island"/>
        <xdr:cNvSpPr/>
      </xdr:nvSpPr>
      <xdr:spPr>
        <a:xfrm>
          <a:off x="8199656" y="17301494"/>
          <a:ext cx="266580" cy="101241"/>
        </a:xfrm>
        <a:custGeom>
          <a:avLst/>
          <a:gdLst>
            <a:gd name="connsiteX0" fmla="*/ 3050 w 266580"/>
            <a:gd name="connsiteY0" fmla="*/ 34006 h 101241"/>
            <a:gd name="connsiteX1" fmla="*/ 59079 w 266580"/>
            <a:gd name="connsiteY1" fmla="*/ 67624 h 101241"/>
            <a:gd name="connsiteX2" fmla="*/ 92697 w 266580"/>
            <a:gd name="connsiteY2" fmla="*/ 90035 h 101241"/>
            <a:gd name="connsiteX3" fmla="*/ 148726 w 266580"/>
            <a:gd name="connsiteY3" fmla="*/ 101241 h 101241"/>
            <a:gd name="connsiteX4" fmla="*/ 227168 w 266580"/>
            <a:gd name="connsiteY4" fmla="*/ 90035 h 101241"/>
            <a:gd name="connsiteX5" fmla="*/ 249579 w 266580"/>
            <a:gd name="connsiteY5" fmla="*/ 45212 h 101241"/>
            <a:gd name="connsiteX6" fmla="*/ 204756 w 266580"/>
            <a:gd name="connsiteY6" fmla="*/ 34006 h 101241"/>
            <a:gd name="connsiteX7" fmla="*/ 47873 w 266580"/>
            <a:gd name="connsiteY7" fmla="*/ 22800 h 101241"/>
            <a:gd name="connsiteX8" fmla="*/ 14256 w 266580"/>
            <a:gd name="connsiteY8" fmla="*/ 388 h 101241"/>
            <a:gd name="connsiteX9" fmla="*/ 3050 w 266580"/>
            <a:gd name="connsiteY9" fmla="*/ 34006 h 1012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66580" h="101241">
              <a:moveTo>
                <a:pt x="3050" y="34006"/>
              </a:moveTo>
              <a:cubicBezTo>
                <a:pt x="10521" y="45212"/>
                <a:pt x="40609" y="56081"/>
                <a:pt x="59079" y="67624"/>
              </a:cubicBezTo>
              <a:cubicBezTo>
                <a:pt x="70500" y="74762"/>
                <a:pt x="80087" y="85306"/>
                <a:pt x="92697" y="90035"/>
              </a:cubicBezTo>
              <a:cubicBezTo>
                <a:pt x="110531" y="96722"/>
                <a:pt x="130050" y="97506"/>
                <a:pt x="148726" y="101241"/>
              </a:cubicBezTo>
              <a:cubicBezTo>
                <a:pt x="174873" y="97506"/>
                <a:pt x="201268" y="95215"/>
                <a:pt x="227168" y="90035"/>
              </a:cubicBezTo>
              <a:cubicBezTo>
                <a:pt x="245098" y="86449"/>
                <a:pt x="291414" y="78681"/>
                <a:pt x="249579" y="45212"/>
              </a:cubicBezTo>
              <a:cubicBezTo>
                <a:pt x="237553" y="35591"/>
                <a:pt x="220063" y="35707"/>
                <a:pt x="204756" y="34006"/>
              </a:cubicBezTo>
              <a:cubicBezTo>
                <a:pt x="152649" y="28216"/>
                <a:pt x="100167" y="26535"/>
                <a:pt x="47873" y="22800"/>
              </a:cubicBezTo>
              <a:cubicBezTo>
                <a:pt x="36667" y="15329"/>
                <a:pt x="27322" y="-2878"/>
                <a:pt x="14256" y="388"/>
              </a:cubicBezTo>
              <a:cubicBezTo>
                <a:pt x="2797" y="3253"/>
                <a:pt x="-4421" y="22800"/>
                <a:pt x="3050" y="3400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workbookViewId="0">
      <selection activeCell="H13" sqref="H13:J13"/>
    </sheetView>
  </sheetViews>
  <sheetFormatPr defaultRowHeight="12.75" x14ac:dyDescent="0.2"/>
  <sheetData>
    <row r="2" spans="3:10" x14ac:dyDescent="0.2">
      <c r="C2" s="4" t="s">
        <v>131</v>
      </c>
      <c r="D2" s="4" t="s">
        <v>132</v>
      </c>
    </row>
    <row r="3" spans="3:10" x14ac:dyDescent="0.2">
      <c r="C3" t="s">
        <v>0</v>
      </c>
      <c r="D3" s="4" t="s">
        <v>161</v>
      </c>
    </row>
    <row r="4" spans="3:10" x14ac:dyDescent="0.2">
      <c r="C4" t="s">
        <v>1</v>
      </c>
      <c r="D4" t="s">
        <v>11</v>
      </c>
    </row>
    <row r="5" spans="3:10" x14ac:dyDescent="0.2">
      <c r="C5" t="s">
        <v>2</v>
      </c>
      <c r="D5" s="4" t="s">
        <v>157</v>
      </c>
    </row>
    <row r="6" spans="3:10" x14ac:dyDescent="0.2">
      <c r="C6" t="s">
        <v>12</v>
      </c>
      <c r="D6" t="s">
        <v>158</v>
      </c>
    </row>
    <row r="7" spans="3:10" x14ac:dyDescent="0.2">
      <c r="C7" t="s">
        <v>14</v>
      </c>
      <c r="D7" s="4" t="s">
        <v>59</v>
      </c>
    </row>
    <row r="8" spans="3:10" x14ac:dyDescent="0.2">
      <c r="C8" s="4" t="s">
        <v>54</v>
      </c>
      <c r="D8" t="s">
        <v>13</v>
      </c>
    </row>
    <row r="9" spans="3:10" x14ac:dyDescent="0.2">
      <c r="C9" s="4" t="s">
        <v>159</v>
      </c>
      <c r="D9" s="4" t="s">
        <v>55</v>
      </c>
    </row>
    <row r="10" spans="3:10" x14ac:dyDescent="0.2">
      <c r="C10" s="4" t="s">
        <v>160</v>
      </c>
      <c r="D10" s="4" t="s">
        <v>130</v>
      </c>
    </row>
    <row r="13" spans="3:10" ht="18" x14ac:dyDescent="0.25">
      <c r="G13" s="1" t="s">
        <v>16</v>
      </c>
      <c r="H13" s="62"/>
      <c r="I13" s="63"/>
      <c r="J13" s="64"/>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156</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11</xdr:col>
                    <xdr:colOff>238125</xdr:colOff>
                    <xdr:row>25</xdr:row>
                    <xdr:rowOff>104775</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11.42578125" customWidth="1"/>
    <col min="33" max="33" width="44.28515625" customWidth="1"/>
    <col min="34" max="34" width="16.42578125" bestFit="1" customWidth="1"/>
    <col min="54" max="54" width="12.7109375" customWidth="1"/>
  </cols>
  <sheetData>
    <row r="1" spans="1:32" s="2" customFormat="1" x14ac:dyDescent="0.2">
      <c r="A1" s="2" t="s">
        <v>174</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135</v>
      </c>
      <c r="R1" s="2" t="s">
        <v>136</v>
      </c>
      <c r="S1" s="2" t="s">
        <v>189</v>
      </c>
      <c r="T1" s="2" t="s">
        <v>137</v>
      </c>
      <c r="U1" s="2" t="s">
        <v>9</v>
      </c>
      <c r="V1" s="2" t="s">
        <v>10</v>
      </c>
      <c r="W1" s="2" t="s">
        <v>139</v>
      </c>
      <c r="X1" s="2" t="s">
        <v>163</v>
      </c>
      <c r="Y1" s="2" t="s">
        <v>140</v>
      </c>
      <c r="Z1" s="2" t="s">
        <v>173</v>
      </c>
      <c r="AA1" s="2" t="s">
        <v>141</v>
      </c>
      <c r="AB1" s="2" t="s">
        <v>142</v>
      </c>
      <c r="AC1" s="2" t="s">
        <v>143</v>
      </c>
      <c r="AD1" s="2" t="s">
        <v>144</v>
      </c>
      <c r="AE1" s="2" t="s">
        <v>145</v>
      </c>
      <c r="AF1" s="2" t="s">
        <v>190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89"/>
  <sheetViews>
    <sheetView zoomScale="85" zoomScaleNormal="85" workbookViewId="0">
      <selection activeCell="I20" sqref="I20"/>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171</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3</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0</v>
      </c>
      <c r="G9" s="4" t="s">
        <v>169</v>
      </c>
    </row>
    <row r="10" spans="3:11" x14ac:dyDescent="0.2">
      <c r="C10" s="5" t="s">
        <v>42</v>
      </c>
      <c r="D10">
        <v>4</v>
      </c>
      <c r="E10" s="8">
        <f>D10/D5</f>
        <v>1.3333333333333333</v>
      </c>
      <c r="G10" s="59">
        <v>120</v>
      </c>
      <c r="H10" s="4" t="s">
        <v>170</v>
      </c>
    </row>
    <row r="11" spans="3:11" x14ac:dyDescent="0.2">
      <c r="C11" s="5"/>
    </row>
    <row r="12" spans="3:11" x14ac:dyDescent="0.2">
      <c r="C12" s="29" t="s">
        <v>151</v>
      </c>
      <c r="E12" s="30" t="s">
        <v>152</v>
      </c>
    </row>
    <row r="13" spans="3:11" x14ac:dyDescent="0.2">
      <c r="C13" s="6" t="s">
        <v>150</v>
      </c>
      <c r="D13">
        <f>IF($D$2=1,COUNTA(InputSheet!AE:AE)-1,"")</f>
        <v>0</v>
      </c>
      <c r="E13" s="7" t="e">
        <f t="shared" ref="E13:E35" si="0">D13/$D$3</f>
        <v>#DIV/0!</v>
      </c>
    </row>
    <row r="14" spans="3:11" x14ac:dyDescent="0.2">
      <c r="C14" s="6" t="s">
        <v>138</v>
      </c>
      <c r="D14">
        <f>IF($D$2=1,COUNTA(InputSheet!T:T)-1,"")</f>
        <v>0</v>
      </c>
      <c r="E14" s="7" t="e">
        <f t="shared" si="0"/>
        <v>#DIV/0!</v>
      </c>
    </row>
    <row r="15" spans="3:11" x14ac:dyDescent="0.2">
      <c r="C15" s="6" t="s">
        <v>149</v>
      </c>
      <c r="D15">
        <f>IF($D$2=1,COUNTA(InputSheet!AD:AD)-1,"")</f>
        <v>0</v>
      </c>
      <c r="E15" s="7" t="e">
        <f t="shared" si="0"/>
        <v>#DIV/0!</v>
      </c>
    </row>
    <row r="16" spans="3:11" x14ac:dyDescent="0.2">
      <c r="C16" s="6" t="s">
        <v>173</v>
      </c>
      <c r="D16">
        <f>IF($D$2=1,COUNTA(InputSheet!Z:Z)-1,"")</f>
        <v>0</v>
      </c>
      <c r="E16" s="7" t="e">
        <f t="shared" si="0"/>
        <v>#DIV/0!</v>
      </c>
    </row>
    <row r="17" spans="3:5" x14ac:dyDescent="0.2">
      <c r="C17" s="6" t="s">
        <v>135</v>
      </c>
      <c r="D17">
        <f>IF($D$2=1,COUNTA(InputSheet!Q:Q)-1,"")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148</v>
      </c>
      <c r="D22">
        <f>IF($D$2=1,COUNTA(InputSheet!AC:AC)-1,"")</f>
        <v>0</v>
      </c>
      <c r="E22" s="7" t="e">
        <f t="shared" si="0"/>
        <v>#DIV/0!</v>
      </c>
    </row>
    <row r="23" spans="3:5" x14ac:dyDescent="0.2">
      <c r="C23" s="6" t="s">
        <v>146</v>
      </c>
      <c r="D23">
        <f>IF($D$2=1,COUNTA(InputSheet!AA:AA)-1,"")</f>
        <v>0</v>
      </c>
      <c r="E23" s="7" t="e">
        <f t="shared" si="0"/>
        <v>#DIV/0!</v>
      </c>
    </row>
    <row r="24" spans="3:5" x14ac:dyDescent="0.2">
      <c r="C24" s="6" t="s">
        <v>15</v>
      </c>
      <c r="D24">
        <f>IF($D$2=1,COUNTA(InputSheet!N:N)-1,"")</f>
        <v>0</v>
      </c>
      <c r="E24" s="7" t="e">
        <f t="shared" si="0"/>
        <v>#DIV/0!</v>
      </c>
    </row>
    <row r="25" spans="3:5" x14ac:dyDescent="0.2">
      <c r="C25" s="6" t="s">
        <v>147</v>
      </c>
      <c r="D25">
        <f>IF($D$2=1,COUNTA(InputSheet!AB:AB)-1,"")</f>
        <v>0</v>
      </c>
      <c r="E25" s="7" t="e">
        <f t="shared" si="0"/>
        <v>#DIV/0!</v>
      </c>
    </row>
    <row r="26" spans="3:5" x14ac:dyDescent="0.2">
      <c r="C26" s="6" t="s">
        <v>136</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5" spans="3:5" x14ac:dyDescent="0.2">
      <c r="C35" s="6" t="s">
        <v>189</v>
      </c>
      <c r="D35">
        <f>IF($D$2=1,COUNTA(InputSheet!S:S)-1,"")</f>
        <v>0</v>
      </c>
      <c r="E35"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66</v>
      </c>
      <c r="C64" s="2" t="s">
        <v>47</v>
      </c>
    </row>
    <row r="65" spans="2:3" x14ac:dyDescent="0.2">
      <c r="B65" t="s">
        <v>67</v>
      </c>
      <c r="C65">
        <f>COUNTIF(InputSheet!H:H,"*Alabama*")</f>
        <v>0</v>
      </c>
    </row>
    <row r="66" spans="2:3" x14ac:dyDescent="0.2">
      <c r="B66" t="s">
        <v>68</v>
      </c>
      <c r="C66">
        <f>COUNTIF(InputSheet!H:H,"*Alaska*")</f>
        <v>0</v>
      </c>
    </row>
    <row r="67" spans="2:3" x14ac:dyDescent="0.2">
      <c r="B67" t="s">
        <v>69</v>
      </c>
      <c r="C67">
        <f>COUNTIF(InputSheet!H:H,"*Arizona*")</f>
        <v>0</v>
      </c>
    </row>
    <row r="68" spans="2:3" x14ac:dyDescent="0.2">
      <c r="B68" t="s">
        <v>70</v>
      </c>
      <c r="C68">
        <f>COUNTIF(InputSheet!H:H,"*Arkansas*")</f>
        <v>0</v>
      </c>
    </row>
    <row r="69" spans="2:3" x14ac:dyDescent="0.2">
      <c r="B69" t="s">
        <v>71</v>
      </c>
      <c r="C69">
        <f>COUNTIF(InputSheet!H:H,"*California*")</f>
        <v>0</v>
      </c>
    </row>
    <row r="70" spans="2:3" x14ac:dyDescent="0.2">
      <c r="B70" t="s">
        <v>72</v>
      </c>
      <c r="C70">
        <f>COUNTIF(InputSheet!H:H,"*Colorado*")</f>
        <v>0</v>
      </c>
    </row>
    <row r="71" spans="2:3" x14ac:dyDescent="0.2">
      <c r="B71" t="s">
        <v>73</v>
      </c>
      <c r="C71">
        <f>COUNTIF(InputSheet!H:H,"*Connecticut*")</f>
        <v>0</v>
      </c>
    </row>
    <row r="72" spans="2:3" x14ac:dyDescent="0.2">
      <c r="B72" t="s">
        <v>74</v>
      </c>
      <c r="C72">
        <f>COUNTIF(InputSheet!H:H,"*Delaware*")</f>
        <v>0</v>
      </c>
    </row>
    <row r="73" spans="2:3" x14ac:dyDescent="0.2">
      <c r="B73" t="s">
        <v>75</v>
      </c>
      <c r="C73">
        <f>COUNTIF(InputSheet!H:H,"*Florida*")</f>
        <v>0</v>
      </c>
    </row>
    <row r="74" spans="2:3" x14ac:dyDescent="0.2">
      <c r="B74" s="4" t="s">
        <v>76</v>
      </c>
      <c r="C74">
        <f>COUNTIF(InputSheet!H:H,"*Georgia*")</f>
        <v>0</v>
      </c>
    </row>
    <row r="75" spans="2:3" x14ac:dyDescent="0.2">
      <c r="B75" s="4" t="s">
        <v>77</v>
      </c>
      <c r="C75">
        <f>COUNTIF(InputSheet!H:H,"*Hawaii*")</f>
        <v>0</v>
      </c>
    </row>
    <row r="76" spans="2:3" x14ac:dyDescent="0.2">
      <c r="B76" s="4" t="s">
        <v>78</v>
      </c>
      <c r="C76">
        <f>COUNTIF(InputSheet!H:H,"*Idaho*")</f>
        <v>0</v>
      </c>
    </row>
    <row r="77" spans="2:3" x14ac:dyDescent="0.2">
      <c r="B77" s="4" t="s">
        <v>79</v>
      </c>
      <c r="C77">
        <f>COUNTIF(InputSheet!H:H,"*Illinois*")</f>
        <v>0</v>
      </c>
    </row>
    <row r="78" spans="2:3" x14ac:dyDescent="0.2">
      <c r="B78" s="4" t="s">
        <v>80</v>
      </c>
      <c r="C78">
        <f>COUNTIF(InputSheet!H:H,"*Indiana*")</f>
        <v>0</v>
      </c>
    </row>
    <row r="79" spans="2:3" x14ac:dyDescent="0.2">
      <c r="B79" s="4" t="s">
        <v>81</v>
      </c>
      <c r="C79">
        <f>COUNTIF(InputSheet!H:H,"*Iowa*")</f>
        <v>0</v>
      </c>
    </row>
    <row r="80" spans="2:3" x14ac:dyDescent="0.2">
      <c r="B80" s="4" t="s">
        <v>82</v>
      </c>
      <c r="C80">
        <f>COUNTIF(InputSheet!H:H,"*Kansas*")</f>
        <v>0</v>
      </c>
    </row>
    <row r="81" spans="2:3" x14ac:dyDescent="0.2">
      <c r="B81" s="4" t="s">
        <v>83</v>
      </c>
      <c r="C81">
        <f>COUNTIF(InputSheet!H:H,"*Kentucky*")</f>
        <v>0</v>
      </c>
    </row>
    <row r="82" spans="2:3" x14ac:dyDescent="0.2">
      <c r="B82" s="4" t="s">
        <v>84</v>
      </c>
      <c r="C82">
        <f>COUNTIF(InputSheet!H:H,"*Louisiana*")</f>
        <v>0</v>
      </c>
    </row>
    <row r="83" spans="2:3" x14ac:dyDescent="0.2">
      <c r="B83" s="4" t="s">
        <v>85</v>
      </c>
      <c r="C83">
        <f>COUNTIF(InputSheet!H:H,"*Maine*")</f>
        <v>0</v>
      </c>
    </row>
    <row r="84" spans="2:3" x14ac:dyDescent="0.2">
      <c r="B84" s="4" t="s">
        <v>86</v>
      </c>
      <c r="C84">
        <f>COUNTIF(InputSheet!H:H,"*Maryland*")</f>
        <v>0</v>
      </c>
    </row>
    <row r="85" spans="2:3" x14ac:dyDescent="0.2">
      <c r="B85" s="4" t="s">
        <v>87</v>
      </c>
      <c r="C85">
        <f>COUNTIF(InputSheet!H:H,"*Massachusetts*")</f>
        <v>0</v>
      </c>
    </row>
    <row r="86" spans="2:3" x14ac:dyDescent="0.2">
      <c r="B86" s="4" t="s">
        <v>88</v>
      </c>
      <c r="C86">
        <f>COUNTIF(InputSheet!H:H,"*Michigan*")</f>
        <v>0</v>
      </c>
    </row>
    <row r="87" spans="2:3" x14ac:dyDescent="0.2">
      <c r="B87" s="4" t="s">
        <v>89</v>
      </c>
      <c r="C87">
        <f>COUNTIF(InputSheet!H:H,"*Minnesota*")</f>
        <v>0</v>
      </c>
    </row>
    <row r="88" spans="2:3" x14ac:dyDescent="0.2">
      <c r="B88" s="4" t="s">
        <v>90</v>
      </c>
      <c r="C88">
        <f>COUNTIF(InputSheet!H:H,"*Mississippi*")</f>
        <v>0</v>
      </c>
    </row>
    <row r="89" spans="2:3" x14ac:dyDescent="0.2">
      <c r="B89" s="4" t="s">
        <v>91</v>
      </c>
      <c r="C89">
        <f>COUNTIF(InputSheet!H:H,"*Missouri*")</f>
        <v>0</v>
      </c>
    </row>
    <row r="90" spans="2:3" x14ac:dyDescent="0.2">
      <c r="B90" s="4" t="s">
        <v>92</v>
      </c>
      <c r="C90">
        <f>COUNTIF(InputSheet!H:H,"*Montana*")</f>
        <v>0</v>
      </c>
    </row>
    <row r="91" spans="2:3" x14ac:dyDescent="0.2">
      <c r="B91" s="4" t="s">
        <v>93</v>
      </c>
      <c r="C91">
        <f>COUNTIF(InputSheet!H:H,"*Nebraska*")</f>
        <v>0</v>
      </c>
    </row>
    <row r="92" spans="2:3" x14ac:dyDescent="0.2">
      <c r="B92" s="4" t="s">
        <v>94</v>
      </c>
      <c r="C92">
        <f>COUNTIF(InputSheet!H:H,"*Nevada*")</f>
        <v>0</v>
      </c>
    </row>
    <row r="93" spans="2:3" x14ac:dyDescent="0.2">
      <c r="B93" s="4" t="s">
        <v>107</v>
      </c>
      <c r="C93">
        <f>COUNTIF(InputSheet!H:H,"*New Hampshire*")</f>
        <v>0</v>
      </c>
    </row>
    <row r="94" spans="2:3" x14ac:dyDescent="0.2">
      <c r="B94" s="4" t="s">
        <v>108</v>
      </c>
      <c r="C94">
        <f>COUNTIF(InputSheet!H:H,"*New Jersey*")</f>
        <v>0</v>
      </c>
    </row>
    <row r="95" spans="2:3" x14ac:dyDescent="0.2">
      <c r="B95" s="4" t="s">
        <v>109</v>
      </c>
      <c r="C95">
        <f>COUNTIF(InputSheet!H:H,"*New Mexico*")</f>
        <v>0</v>
      </c>
    </row>
    <row r="96" spans="2:3" x14ac:dyDescent="0.2">
      <c r="B96" s="4" t="s">
        <v>110</v>
      </c>
      <c r="C96">
        <f>COUNTIF(InputSheet!H:H,"*New York*")</f>
        <v>0</v>
      </c>
    </row>
    <row r="97" spans="2:6" x14ac:dyDescent="0.2">
      <c r="B97" s="4" t="s">
        <v>111</v>
      </c>
      <c r="C97">
        <f>COUNTIF(InputSheet!H:H,"*North Carolina*")</f>
        <v>0</v>
      </c>
    </row>
    <row r="98" spans="2:6" x14ac:dyDescent="0.2">
      <c r="B98" s="4" t="s">
        <v>112</v>
      </c>
      <c r="C98">
        <f>COUNTIF(InputSheet!H:H,"*North Dakota*")</f>
        <v>0</v>
      </c>
    </row>
    <row r="99" spans="2:6" x14ac:dyDescent="0.2">
      <c r="B99" s="4" t="s">
        <v>95</v>
      </c>
      <c r="C99">
        <f>COUNTIF(InputSheet!H:H,"*Ohio*")</f>
        <v>0</v>
      </c>
    </row>
    <row r="100" spans="2:6" x14ac:dyDescent="0.2">
      <c r="B100" s="4" t="s">
        <v>96</v>
      </c>
      <c r="C100">
        <f>COUNTIF(InputSheet!H:H,"*Oklahoma*")</f>
        <v>0</v>
      </c>
    </row>
    <row r="101" spans="2:6" x14ac:dyDescent="0.2">
      <c r="B101" s="4" t="s">
        <v>97</v>
      </c>
      <c r="C101">
        <f>COUNTIF(InputSheet!H:H,"*Oregon*")</f>
        <v>0</v>
      </c>
    </row>
    <row r="102" spans="2:6" x14ac:dyDescent="0.2">
      <c r="B102" s="4" t="s">
        <v>98</v>
      </c>
      <c r="C102">
        <f>COUNTIF(InputSheet!H:H,"*Pennsylvania*")</f>
        <v>0</v>
      </c>
    </row>
    <row r="103" spans="2:6" x14ac:dyDescent="0.2">
      <c r="B103" s="4" t="s">
        <v>113</v>
      </c>
      <c r="C103">
        <f>COUNTIF(InputSheet!H:H,"*Rhode Island*")</f>
        <v>0</v>
      </c>
    </row>
    <row r="104" spans="2:6" x14ac:dyDescent="0.2">
      <c r="B104" s="4" t="s">
        <v>114</v>
      </c>
      <c r="C104">
        <f>COUNTIF(InputSheet!H:H,"*South Carolina*")</f>
        <v>0</v>
      </c>
    </row>
    <row r="105" spans="2:6" x14ac:dyDescent="0.2">
      <c r="B105" s="4" t="s">
        <v>115</v>
      </c>
      <c r="C105">
        <f>COUNTIF(InputSheet!H:H,"*South Dakota*")</f>
        <v>0</v>
      </c>
    </row>
    <row r="106" spans="2:6" x14ac:dyDescent="0.2">
      <c r="B106" s="4" t="s">
        <v>99</v>
      </c>
      <c r="C106">
        <f>COUNTIF(InputSheet!H:H,"*Tennessee*")</f>
        <v>0</v>
      </c>
    </row>
    <row r="107" spans="2:6" x14ac:dyDescent="0.2">
      <c r="B107" s="4" t="s">
        <v>100</v>
      </c>
      <c r="C107">
        <f>COUNTIF(InputSheet!H:H,"*Texas*")</f>
        <v>0</v>
      </c>
    </row>
    <row r="108" spans="2:6" x14ac:dyDescent="0.2">
      <c r="B108" s="4" t="s">
        <v>101</v>
      </c>
      <c r="C108">
        <f>COUNTIF(InputSheet!H:H,"*Utah*")</f>
        <v>0</v>
      </c>
    </row>
    <row r="109" spans="2:6" x14ac:dyDescent="0.2">
      <c r="B109" s="4" t="s">
        <v>102</v>
      </c>
      <c r="C109">
        <f>COUNTIF(InputSheet!H:H,"*Vermont*")</f>
        <v>0</v>
      </c>
    </row>
    <row r="110" spans="2:6" x14ac:dyDescent="0.2">
      <c r="B110" s="4" t="s">
        <v>103</v>
      </c>
      <c r="C110">
        <f>COUNTIF(InputSheet!H:H,"*Virginia*")</f>
        <v>0</v>
      </c>
    </row>
    <row r="111" spans="2:6" x14ac:dyDescent="0.2">
      <c r="B111" s="4" t="s">
        <v>104</v>
      </c>
      <c r="C111">
        <f>COUNTIF(InputSheet!H:H,"*, Washington*")</f>
        <v>0</v>
      </c>
      <c r="E111" s="28"/>
      <c r="F111" s="28" t="s">
        <v>133</v>
      </c>
    </row>
    <row r="112" spans="2:6" x14ac:dyDescent="0.2">
      <c r="B112" s="4" t="s">
        <v>116</v>
      </c>
      <c r="C112">
        <f>COUNTIF(InputSheet!H:H,"*West Virginia*")</f>
        <v>0</v>
      </c>
    </row>
    <row r="113" spans="2:3" x14ac:dyDescent="0.2">
      <c r="B113" s="4" t="s">
        <v>105</v>
      </c>
      <c r="C113">
        <f>COUNTIF(InputSheet!H:H,"*Wisconsin*")</f>
        <v>0</v>
      </c>
    </row>
    <row r="114" spans="2:3" x14ac:dyDescent="0.2">
      <c r="B114" s="4" t="s">
        <v>106</v>
      </c>
      <c r="C114">
        <f>COUNTIF(InputSheet!H:H,"*Wyoming*")</f>
        <v>0</v>
      </c>
    </row>
    <row r="115" spans="2:3" x14ac:dyDescent="0.2">
      <c r="B115" s="4" t="s">
        <v>134</v>
      </c>
      <c r="C115">
        <f>COUNTIF(InputSheet!H:H,"*District of Columbia*")</f>
        <v>0</v>
      </c>
    </row>
    <row r="116" spans="2:3" x14ac:dyDescent="0.2">
      <c r="B116" s="4" t="s">
        <v>175</v>
      </c>
      <c r="C116">
        <f>COUNTIF(InputSheet!H:H,"*Yukon*")</f>
        <v>0</v>
      </c>
    </row>
    <row r="117" spans="2:3" x14ac:dyDescent="0.2">
      <c r="B117" s="4" t="s">
        <v>176</v>
      </c>
      <c r="C117">
        <f>COUNTIF(InputSheet!H:H,"*Northwest Territories*")</f>
        <v>0</v>
      </c>
    </row>
    <row r="118" spans="2:3" x14ac:dyDescent="0.2">
      <c r="B118" s="4" t="s">
        <v>177</v>
      </c>
      <c r="C118">
        <f>COUNTIF(InputSheet!H:H,"*Nunavut*")</f>
        <v>0</v>
      </c>
    </row>
    <row r="119" spans="2:3" x14ac:dyDescent="0.2">
      <c r="B119" s="4" t="s">
        <v>178</v>
      </c>
      <c r="C119">
        <f>COUNTIF(InputSheet!H:H,"*British Columbia*")</f>
        <v>0</v>
      </c>
    </row>
    <row r="120" spans="2:3" x14ac:dyDescent="0.2">
      <c r="B120" s="4" t="s">
        <v>179</v>
      </c>
      <c r="C120">
        <f>COUNTIF(InputSheet!H:H,"*Alberta*")</f>
        <v>0</v>
      </c>
    </row>
    <row r="121" spans="2:3" x14ac:dyDescent="0.2">
      <c r="B121" s="4" t="s">
        <v>180</v>
      </c>
      <c r="C121">
        <f>COUNTIF(InputSheet!H:H,"*Saskatchewan*")</f>
        <v>0</v>
      </c>
    </row>
    <row r="122" spans="2:3" x14ac:dyDescent="0.2">
      <c r="B122" s="4" t="s">
        <v>181</v>
      </c>
      <c r="C122">
        <f>COUNTIF(InputSheet!H:H,"*Manitoba*")</f>
        <v>0</v>
      </c>
    </row>
    <row r="123" spans="2:3" x14ac:dyDescent="0.2">
      <c r="B123" s="4" t="s">
        <v>182</v>
      </c>
      <c r="C123">
        <f>COUNTIF(InputSheet!H:H,"*, Ontario*")</f>
        <v>0</v>
      </c>
    </row>
    <row r="124" spans="2:3" x14ac:dyDescent="0.2">
      <c r="B124" s="4" t="s">
        <v>183</v>
      </c>
      <c r="C124">
        <f>COUNTIF(InputSheet!H:H,"*, Quebec*")</f>
        <v>0</v>
      </c>
    </row>
    <row r="125" spans="2:3" x14ac:dyDescent="0.2">
      <c r="B125" s="4" t="s">
        <v>184</v>
      </c>
      <c r="C125">
        <f>COUNTIF(InputSheet!H:H,"*Newfoundland and Labrador*")</f>
        <v>0</v>
      </c>
    </row>
    <row r="126" spans="2:3" x14ac:dyDescent="0.2">
      <c r="B126" s="4" t="s">
        <v>185</v>
      </c>
      <c r="C126">
        <f>COUNTIF(InputSheet!H:H,"*Prince Edward Island*")</f>
        <v>0</v>
      </c>
    </row>
    <row r="127" spans="2:3" x14ac:dyDescent="0.2">
      <c r="B127" s="4" t="s">
        <v>186</v>
      </c>
      <c r="C127">
        <f>COUNTIF(InputSheet!H:H,"*New Brunswick*")</f>
        <v>0</v>
      </c>
    </row>
    <row r="128" spans="2:3" x14ac:dyDescent="0.2">
      <c r="B128" s="4" t="s">
        <v>187</v>
      </c>
      <c r="C128">
        <f>COUNTIF(InputSheet!H:H,"*Nova Scotia*")</f>
        <v>0</v>
      </c>
    </row>
    <row r="129" spans="2:11" x14ac:dyDescent="0.2">
      <c r="B129" s="2" t="s">
        <v>46</v>
      </c>
      <c r="C129" s="2">
        <f>SUM(C65:C128)</f>
        <v>0</v>
      </c>
    </row>
    <row r="130" spans="2:11" ht="18" x14ac:dyDescent="0.25">
      <c r="K130" s="15"/>
    </row>
    <row r="131" spans="2:11" x14ac:dyDescent="0.2">
      <c r="C131" s="4" t="s">
        <v>128</v>
      </c>
      <c r="D131" s="4" t="s">
        <v>134</v>
      </c>
      <c r="E131" s="4" t="s">
        <v>122</v>
      </c>
    </row>
    <row r="132" spans="2:11" x14ac:dyDescent="0.2">
      <c r="C132" s="4" t="s">
        <v>129</v>
      </c>
      <c r="D132" s="26">
        <f>VLOOKUP(actReg,regData,2,FALSE)</f>
        <v>0</v>
      </c>
      <c r="E132" s="4" t="s">
        <v>124</v>
      </c>
    </row>
    <row r="133" spans="2:11" x14ac:dyDescent="0.2">
      <c r="C133" s="4" t="s">
        <v>127</v>
      </c>
      <c r="D133" s="4" t="str">
        <f>VLOOKUP(actRegValue,classValues,2,TRUE)</f>
        <v>class5</v>
      </c>
      <c r="E133" s="4" t="s">
        <v>123</v>
      </c>
    </row>
    <row r="137" spans="2:11" x14ac:dyDescent="0.2">
      <c r="C137">
        <v>0</v>
      </c>
      <c r="D137" s="4" t="s">
        <v>126</v>
      </c>
    </row>
    <row r="138" spans="2:11" x14ac:dyDescent="0.2">
      <c r="C138">
        <f>ROUNDUP((MAX($C$65:$C$128)*0.1167),0)</f>
        <v>0</v>
      </c>
      <c r="D138" s="4" t="s">
        <v>117</v>
      </c>
    </row>
    <row r="139" spans="2:11" x14ac:dyDescent="0.2">
      <c r="C139">
        <f>ROUNDUP((MAX($C$65:$C$128)*0.334),0)</f>
        <v>0</v>
      </c>
      <c r="D139" s="4" t="s">
        <v>118</v>
      </c>
    </row>
    <row r="140" spans="2:11" x14ac:dyDescent="0.2">
      <c r="C140">
        <f>ROUNDUP((MAX($C$65:$C$128)*0.5),0)</f>
        <v>0</v>
      </c>
      <c r="D140" s="4" t="s">
        <v>119</v>
      </c>
    </row>
    <row r="141" spans="2:11" x14ac:dyDescent="0.2">
      <c r="C141">
        <f>ROUNDUP((MAX($C$65:$C$128)*0.667),0)</f>
        <v>0</v>
      </c>
      <c r="D141" s="4" t="s">
        <v>120</v>
      </c>
    </row>
    <row r="142" spans="2:11" x14ac:dyDescent="0.2">
      <c r="C142">
        <f>ROUNDUP((MAX($C$65:$C$128)*0.833),0)</f>
        <v>0</v>
      </c>
      <c r="D142" s="4" t="s">
        <v>121</v>
      </c>
    </row>
    <row r="144" spans="2:11" x14ac:dyDescent="0.2">
      <c r="F144" s="6"/>
    </row>
    <row r="151" spans="3:3" x14ac:dyDescent="0.2">
      <c r="C151" s="58" t="s">
        <v>155</v>
      </c>
    </row>
    <row r="153" spans="3:3" ht="23.25" x14ac:dyDescent="0.35">
      <c r="C153" s="34"/>
    </row>
    <row r="154" spans="3:3" ht="27" x14ac:dyDescent="0.35">
      <c r="C154" s="52"/>
    </row>
    <row r="155" spans="3:3" ht="33" x14ac:dyDescent="0.45">
      <c r="C155" s="49"/>
    </row>
    <row r="156" spans="3:3" ht="27" x14ac:dyDescent="0.35">
      <c r="C156" s="51"/>
    </row>
    <row r="157" spans="3:3" ht="33" x14ac:dyDescent="0.45">
      <c r="C157" s="48"/>
    </row>
    <row r="158" spans="3:3" ht="27" x14ac:dyDescent="0.35">
      <c r="C158" s="50"/>
    </row>
    <row r="159" spans="3:3" ht="33" x14ac:dyDescent="0.45">
      <c r="C159" s="47"/>
    </row>
    <row r="160" spans="3:3" ht="23.25" x14ac:dyDescent="0.35">
      <c r="C160" s="33"/>
    </row>
    <row r="161" spans="3:3" ht="23.25" x14ac:dyDescent="0.35">
      <c r="C161" s="35"/>
    </row>
    <row r="162" spans="3:3" ht="18" x14ac:dyDescent="0.25">
      <c r="C162" s="53"/>
    </row>
    <row r="163" spans="3:3" ht="18" x14ac:dyDescent="0.25">
      <c r="C163" s="55"/>
    </row>
    <row r="164" spans="3:3" ht="18" x14ac:dyDescent="0.25">
      <c r="C164" s="54"/>
    </row>
    <row r="165" spans="3:3" ht="15" x14ac:dyDescent="0.2">
      <c r="C165" s="42"/>
    </row>
    <row r="166" spans="3:3" ht="15" x14ac:dyDescent="0.2">
      <c r="C166" s="43"/>
    </row>
    <row r="167" spans="3:3" ht="15" x14ac:dyDescent="0.2">
      <c r="C167" s="41"/>
    </row>
    <row r="168" spans="3:3" ht="15" x14ac:dyDescent="0.2">
      <c r="C168" s="44"/>
    </row>
    <row r="169" spans="3:3" ht="15" x14ac:dyDescent="0.2">
      <c r="C169" s="45"/>
    </row>
    <row r="170" spans="3:3" ht="15" x14ac:dyDescent="0.2">
      <c r="C170" s="46"/>
    </row>
    <row r="171" spans="3:3" ht="15" x14ac:dyDescent="0.2">
      <c r="C171" s="36"/>
    </row>
    <row r="172" spans="3:3" ht="15" x14ac:dyDescent="0.2">
      <c r="C172" s="37"/>
    </row>
    <row r="173" spans="3:3" ht="15" x14ac:dyDescent="0.2">
      <c r="C173" s="38"/>
    </row>
    <row r="174" spans="3:3" ht="15" x14ac:dyDescent="0.2">
      <c r="C174" s="39"/>
    </row>
    <row r="175" spans="3:3" ht="15" x14ac:dyDescent="0.2">
      <c r="C175" s="40"/>
    </row>
    <row r="176" spans="3:3" ht="23.25" x14ac:dyDescent="0.35">
      <c r="C176" s="33"/>
    </row>
    <row r="177" spans="3:11" ht="23.25" x14ac:dyDescent="0.35">
      <c r="C177" s="34"/>
    </row>
    <row r="180" spans="3:11" x14ac:dyDescent="0.2">
      <c r="C180" s="4"/>
    </row>
    <row r="181" spans="3:11" x14ac:dyDescent="0.2">
      <c r="C181" s="4"/>
    </row>
    <row r="186" spans="3:11" ht="12.75" customHeight="1" x14ac:dyDescent="0.3">
      <c r="C186" s="31"/>
      <c r="D186" s="31"/>
      <c r="E186" s="31"/>
      <c r="F186" s="31"/>
      <c r="G186" s="31"/>
      <c r="H186" s="31"/>
      <c r="I186" s="31"/>
      <c r="J186" s="31"/>
      <c r="K186" s="31"/>
    </row>
    <row r="187" spans="3:11" ht="12.75" customHeight="1" x14ac:dyDescent="0.3">
      <c r="C187" s="31"/>
      <c r="D187" s="31"/>
      <c r="E187" s="31"/>
      <c r="F187" s="31"/>
      <c r="G187" s="31"/>
      <c r="H187" s="31"/>
      <c r="I187" s="31"/>
      <c r="J187" s="31"/>
      <c r="K187" s="31"/>
    </row>
    <row r="188" spans="3:11" ht="12.75" customHeight="1" x14ac:dyDescent="0.3">
      <c r="C188" s="31"/>
      <c r="D188" s="31"/>
      <c r="E188" s="31"/>
      <c r="F188" s="31"/>
      <c r="G188" s="31"/>
      <c r="H188" s="31"/>
      <c r="I188" s="31"/>
      <c r="J188" s="31"/>
      <c r="K188" s="31"/>
    </row>
    <row r="189" spans="3:11" ht="12.75" customHeight="1" x14ac:dyDescent="0.3">
      <c r="C189" s="31"/>
      <c r="D189" s="31"/>
      <c r="E189" s="31"/>
      <c r="F189" s="31"/>
      <c r="G189" s="31"/>
      <c r="H189" s="31"/>
      <c r="I189" s="31"/>
      <c r="J189" s="31"/>
      <c r="K189"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46"/>
  <sheetViews>
    <sheetView zoomScale="85" zoomScaleNormal="85" workbookViewId="0">
      <selection activeCell="K35" sqref="K35"/>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168</v>
      </c>
      <c r="E6">
        <f>IF(Statistics!D2=1,Statistics!D5,"")</f>
        <v>3</v>
      </c>
    </row>
    <row r="7" spans="2:7" x14ac:dyDescent="0.2">
      <c r="B7" s="14" t="s">
        <v>165</v>
      </c>
      <c r="E7">
        <f>IF(Statistics!D2=1,Statistics!D3,"")</f>
        <v>0</v>
      </c>
      <c r="F7" s="7">
        <f>E7/E6</f>
        <v>0</v>
      </c>
    </row>
    <row r="8" spans="2:7" x14ac:dyDescent="0.2">
      <c r="B8" s="14" t="s">
        <v>166</v>
      </c>
      <c r="E8">
        <f>IF(Statistics!D2=1,Statistics!D7,"")</f>
        <v>0</v>
      </c>
      <c r="F8" s="7">
        <f>E8/E6</f>
        <v>0</v>
      </c>
    </row>
    <row r="9" spans="2:7" x14ac:dyDescent="0.2">
      <c r="B9" s="14" t="s">
        <v>167</v>
      </c>
      <c r="E9">
        <f>IF(Statistics!D2=1,Statistics!D8,"")</f>
        <v>0</v>
      </c>
      <c r="F9" s="7">
        <f>E9/E6</f>
        <v>0</v>
      </c>
    </row>
    <row r="12" spans="2:7" x14ac:dyDescent="0.2">
      <c r="B12" s="2" t="s">
        <v>164</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Enhanced Data</v>
      </c>
      <c r="D19">
        <f>Statistics!D16</f>
        <v>0</v>
      </c>
      <c r="F19" s="10" t="e">
        <f>Statistics!E16</f>
        <v>#DIV/0!</v>
      </c>
    </row>
    <row r="20" spans="2:6" x14ac:dyDescent="0.2">
      <c r="B20" t="str">
        <f>Statistics!C17</f>
        <v>Klout</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c r="B38" t="str">
        <f>Statistics!C35</f>
        <v>YouTube</v>
      </c>
      <c r="D38">
        <f>Statistics!D35</f>
        <v>0</v>
      </c>
      <c r="F38" s="10" t="e">
        <f>Statistics!E35</f>
        <v>#DIV/0!</v>
      </c>
    </row>
    <row r="39" spans="2:7" ht="14.25" thickTop="1" thickBot="1" x14ac:dyDescent="0.25">
      <c r="B39" s="11"/>
      <c r="C39" s="11"/>
      <c r="D39" s="11"/>
      <c r="E39" s="11"/>
      <c r="F39" s="11"/>
      <c r="G39" s="11"/>
    </row>
    <row r="62" spans="2:15" ht="18" x14ac:dyDescent="0.25">
      <c r="B62" s="15" t="s">
        <v>162</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154</v>
      </c>
    </row>
    <row r="137" spans="15:16" x14ac:dyDescent="0.2">
      <c r="O137" s="65" t="s">
        <v>125</v>
      </c>
      <c r="P137" s="65"/>
    </row>
    <row r="138" spans="15:16" x14ac:dyDescent="0.2">
      <c r="O138" s="27" t="str">
        <f>CONCATENATE(Statistics!C137,"-",Statistics!C138-1)</f>
        <v>0--1</v>
      </c>
      <c r="P138" s="61"/>
    </row>
    <row r="139" spans="15:16" x14ac:dyDescent="0.2">
      <c r="O139" s="27" t="str">
        <f>CONCATENATE(Statistics!C138,"-",Statistics!C139-1)</f>
        <v>0--1</v>
      </c>
      <c r="P139" s="25"/>
    </row>
    <row r="140" spans="15:16" x14ac:dyDescent="0.2">
      <c r="O140" s="27" t="str">
        <f>CONCATENATE(Statistics!C139,"-",Statistics!C140-1)</f>
        <v>0--1</v>
      </c>
      <c r="P140" s="23"/>
    </row>
    <row r="141" spans="15:16" x14ac:dyDescent="0.2">
      <c r="O141" s="27" t="str">
        <f>CONCATENATE(Statistics!C140,"-",Statistics!C141-1)</f>
        <v>0--1</v>
      </c>
      <c r="P141" s="24"/>
    </row>
    <row r="142" spans="15:16" x14ac:dyDescent="0.2">
      <c r="O142" s="27" t="str">
        <f>CONCATENATE(Statistics!C141,"-",Statistics!C142-1)</f>
        <v>0--1</v>
      </c>
      <c r="P142" s="22"/>
    </row>
    <row r="143" spans="15:16" x14ac:dyDescent="0.2">
      <c r="O143" s="27" t="str">
        <f>CONCATENATE(Statistics!C142,"+")</f>
        <v>0+</v>
      </c>
      <c r="P143" s="21"/>
    </row>
    <row r="146" spans="5:5" ht="18" x14ac:dyDescent="0.25">
      <c r="E146" s="15" t="s">
        <v>188</v>
      </c>
    </row>
  </sheetData>
  <mergeCells count="1">
    <mergeCell ref="O137:P137"/>
  </mergeCells>
  <pageMargins left="0.25" right="0.25" top="0.75" bottom="0.75" header="0.3" footer="0.3"/>
  <pageSetup scale="70" orientation="portrait" r:id="rId1"/>
  <rowBreaks count="2" manualBreakCount="2">
    <brk id="40" min="1" max="16" man="1"/>
    <brk id="75" min="1"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heetViews>
  <sheetFormatPr defaultRowHeight="12.75" x14ac:dyDescent="0.2"/>
  <cols>
    <col min="1" max="1" width="3.28515625" customWidth="1"/>
  </cols>
  <sheetData>
    <row r="2" spans="1:2" x14ac:dyDescent="0.2">
      <c r="A2" s="2" t="s">
        <v>60</v>
      </c>
    </row>
    <row r="3" spans="1:2" x14ac:dyDescent="0.2">
      <c r="B3" s="4" t="s">
        <v>153</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Report!Print_Area</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 Todd</cp:lastModifiedBy>
  <cp:lastPrinted>2012-02-02T23:01:57Z</cp:lastPrinted>
  <dcterms:created xsi:type="dcterms:W3CDTF">2011-11-06T04:09:30Z</dcterms:created>
  <dcterms:modified xsi:type="dcterms:W3CDTF">2012-10-21T02:40:53Z</dcterms:modified>
</cp:coreProperties>
</file>