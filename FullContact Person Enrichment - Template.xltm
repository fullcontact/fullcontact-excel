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80" windowWidth="15315" windowHeight="8445"/>
  </bookViews>
  <sheets>
    <sheet name="Begin" sheetId="1" r:id="rId1"/>
    <sheet name="InputSheet" sheetId="5" r:id="rId2"/>
    <sheet name="Statistics" sheetId="3" r:id="rId3"/>
    <sheet name="Report" sheetId="6" r:id="rId4"/>
    <sheet name="ReadMe" sheetId="4" r:id="rId5"/>
  </sheets>
  <functionGroups builtInGroupCount="17"/>
  <definedNames>
    <definedName name="actReg">Statistics!$D$118</definedName>
    <definedName name="actRegCode">Statistics!$D$120</definedName>
    <definedName name="actRegValue">Statistics!$D$119</definedName>
    <definedName name="class0">Report!$P$108</definedName>
    <definedName name="class1">Report!$P$109</definedName>
    <definedName name="class2">Report!$P$110</definedName>
    <definedName name="class3">Report!$P$111</definedName>
    <definedName name="class4">Report!$P$112</definedName>
    <definedName name="class5">Report!$P$113</definedName>
    <definedName name="classValues">Statistics!$C$124:$D$129</definedName>
    <definedName name="Delay_between_Passes">Begin!$H$18</definedName>
    <definedName name="fc_api_key">Begin!$H$14</definedName>
    <definedName name="fckey">Begin!$H$14</definedName>
    <definedName name="locationCount">Statistics!$C$116</definedName>
    <definedName name="merge">Report!$C$63:$N$73</definedName>
    <definedName name="Number_of_Seeding_Passes">Begin!$H$16</definedName>
    <definedName name="old">Statistics!$C$125:$D$129</definedName>
    <definedName name="_xlnm.Print_Area" localSheetId="2">Statistics!$G$3:$X$118</definedName>
    <definedName name="regData">Statistics!$B$65:$C$115</definedName>
    <definedName name="tokenconcat">Report!$C$63</definedName>
    <definedName name="toptokenconcat">Report!$C$63</definedName>
    <definedName name="toptokencounts">Statistics!$C$140:$D$164</definedName>
    <definedName name="toptokens">Statistics!$C$140:$C$164</definedName>
  </definedNames>
  <calcPr calcId="145621"/>
</workbook>
</file>

<file path=xl/calcChain.xml><?xml version="1.0" encoding="utf-8"?>
<calcChain xmlns="http://schemas.openxmlformats.org/spreadsheetml/2006/main">
  <c r="D7" i="3" l="1"/>
  <c r="D13" i="3" l="1"/>
  <c r="D18" i="3"/>
  <c r="D20" i="3"/>
  <c r="D24" i="3"/>
  <c r="E24" i="3" s="1"/>
  <c r="D22" i="3"/>
  <c r="E22" i="3" s="1"/>
  <c r="D31" i="3"/>
  <c r="D28" i="3"/>
  <c r="D14" i="3"/>
  <c r="D21" i="3"/>
  <c r="D26" i="3"/>
  <c r="D19" i="3"/>
  <c r="D29" i="3"/>
  <c r="D25" i="3"/>
  <c r="D23" i="3"/>
  <c r="D17" i="3"/>
  <c r="D30" i="3"/>
  <c r="D16" i="3"/>
  <c r="D15" i="3"/>
  <c r="D33" i="3"/>
  <c r="D34" i="3"/>
  <c r="D32" i="3"/>
  <c r="D27" i="3"/>
  <c r="B35" i="6"/>
  <c r="B36" i="6"/>
  <c r="B32" i="6"/>
  <c r="B33" i="6"/>
  <c r="B34" i="6"/>
  <c r="E6" i="6"/>
  <c r="B17" i="6"/>
  <c r="B18" i="6"/>
  <c r="B19" i="6"/>
  <c r="B20" i="6"/>
  <c r="B21" i="6"/>
  <c r="B22" i="6"/>
  <c r="B23" i="6"/>
  <c r="B24" i="6"/>
  <c r="B25" i="6"/>
  <c r="B26" i="6"/>
  <c r="B27" i="6"/>
  <c r="B28" i="6"/>
  <c r="B29" i="6"/>
  <c r="B30" i="6"/>
  <c r="B31" i="6"/>
  <c r="B16" i="6"/>
  <c r="D36" i="6" l="1"/>
  <c r="E20" i="3"/>
  <c r="E18" i="3"/>
  <c r="E13" i="3"/>
  <c r="D27" i="6"/>
  <c r="E21" i="3"/>
  <c r="E14" i="3"/>
  <c r="E26" i="3"/>
  <c r="C115" i="3"/>
  <c r="C111" i="3"/>
  <c r="C114" i="3" l="1"/>
  <c r="C113" i="3"/>
  <c r="C112"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D119" i="3" s="1"/>
  <c r="C71" i="3"/>
  <c r="C70" i="3"/>
  <c r="C69" i="3"/>
  <c r="C68" i="3"/>
  <c r="C67" i="3"/>
  <c r="C66" i="3"/>
  <c r="C65" i="3"/>
  <c r="E49" i="3"/>
  <c r="E48" i="3"/>
  <c r="E47" i="3"/>
  <c r="E46" i="3"/>
  <c r="E45" i="3"/>
  <c r="E44" i="3"/>
  <c r="E43" i="3"/>
  <c r="E40" i="3"/>
  <c r="D40" i="3"/>
  <c r="D24" i="6"/>
  <c r="D8" i="3"/>
  <c r="E9" i="6" s="1"/>
  <c r="F9" i="6" s="1"/>
  <c r="E8" i="6"/>
  <c r="F8" i="6" s="1"/>
  <c r="D4" i="3"/>
  <c r="D3" i="3"/>
  <c r="E7" i="6" s="1"/>
  <c r="F7" i="6" s="1"/>
  <c r="D16" i="6" l="1"/>
  <c r="D28" i="6"/>
  <c r="C116" i="3"/>
  <c r="C125" i="3"/>
  <c r="C127" i="3"/>
  <c r="C129" i="3"/>
  <c r="C126" i="3"/>
  <c r="C128" i="3"/>
  <c r="E10" i="3"/>
  <c r="O112" i="6" l="1"/>
  <c r="O110" i="6"/>
  <c r="O113" i="6"/>
  <c r="O109" i="6"/>
  <c r="O108" i="6"/>
  <c r="O111" i="6"/>
  <c r="D120" i="3"/>
  <c r="E8" i="3" l="1"/>
  <c r="D1" i="3" l="1"/>
  <c r="D26" i="6" l="1"/>
  <c r="B2" i="6"/>
  <c r="E41" i="3"/>
  <c r="E50" i="3"/>
  <c r="E52" i="3" s="1"/>
  <c r="D41" i="3"/>
  <c r="D25" i="6" l="1"/>
  <c r="E19" i="3"/>
  <c r="E54" i="3"/>
  <c r="E53" i="3"/>
  <c r="E57" i="3"/>
  <c r="E56" i="3"/>
  <c r="E55" i="3"/>
  <c r="D35" i="6" l="1"/>
  <c r="D22" i="6"/>
  <c r="D18" i="6"/>
  <c r="D17" i="6"/>
  <c r="D33" i="6"/>
  <c r="E31" i="3"/>
  <c r="E3" i="3"/>
  <c r="E7" i="3"/>
  <c r="D34" i="6" l="1"/>
  <c r="D23" i="6"/>
  <c r="D21" i="6"/>
  <c r="D32" i="6"/>
  <c r="D29" i="6"/>
  <c r="D19" i="6"/>
  <c r="D30" i="6"/>
  <c r="D20" i="6"/>
  <c r="D31" i="6"/>
  <c r="E27" i="3"/>
  <c r="E16" i="3"/>
  <c r="E33" i="3"/>
  <c r="E28" i="3"/>
  <c r="E15" i="3"/>
  <c r="E23" i="3"/>
  <c r="E34" i="3"/>
  <c r="F36" i="6" s="1"/>
  <c r="E25" i="3"/>
  <c r="F27" i="6" s="1"/>
  <c r="E17" i="3"/>
  <c r="E32" i="3"/>
  <c r="E30" i="3"/>
  <c r="E29" i="3"/>
  <c r="F26" i="6" l="1"/>
  <c r="F29" i="6"/>
  <c r="F35" i="6"/>
  <c r="F32" i="6"/>
  <c r="F34" i="6"/>
  <c r="F33" i="6"/>
  <c r="F31" i="6"/>
  <c r="F28" i="6"/>
  <c r="F25" i="6"/>
  <c r="F20" i="6"/>
  <c r="F22" i="6"/>
  <c r="F17" i="6"/>
  <c r="F23" i="6"/>
  <c r="F24" i="6"/>
  <c r="F18" i="6"/>
  <c r="F30" i="6"/>
  <c r="F19" i="6"/>
  <c r="F21" i="6"/>
  <c r="F16" i="6"/>
</calcChain>
</file>

<file path=xl/sharedStrings.xml><?xml version="1.0" encoding="utf-8"?>
<sst xmlns="http://schemas.openxmlformats.org/spreadsheetml/2006/main" count="201" uniqueCount="177">
  <si>
    <t>Step 1.</t>
  </si>
  <si>
    <t>Step 2.</t>
  </si>
  <si>
    <t>Step 3.</t>
  </si>
  <si>
    <t>General Location</t>
  </si>
  <si>
    <t>Photo</t>
  </si>
  <si>
    <t>LinkedIn</t>
  </si>
  <si>
    <t>Twitter</t>
  </si>
  <si>
    <t>MySpace</t>
  </si>
  <si>
    <t># Photos</t>
  </si>
  <si>
    <t>Other Profiles</t>
  </si>
  <si>
    <t># Profiles</t>
  </si>
  <si>
    <t>Clear the workbook of any old data by select "Wipe Data" below.</t>
  </si>
  <si>
    <t>Step 4.</t>
  </si>
  <si>
    <t>Click on "Populate Contacts" below.</t>
  </si>
  <si>
    <t>Step 5.</t>
  </si>
  <si>
    <t>Facebook</t>
  </si>
  <si>
    <t>FullContact API Key:</t>
  </si>
  <si>
    <t>Email</t>
  </si>
  <si>
    <t>Status</t>
  </si>
  <si>
    <t>First Name</t>
  </si>
  <si>
    <t>Last Name</t>
  </si>
  <si>
    <t>Full Name</t>
  </si>
  <si>
    <t>Age</t>
  </si>
  <si>
    <t>Gender</t>
  </si>
  <si>
    <t>Company</t>
  </si>
  <si>
    <t>Occupation</t>
  </si>
  <si>
    <t>Number Processed</t>
  </si>
  <si>
    <t>Number of Blanks</t>
  </si>
  <si>
    <t>Number Total</t>
  </si>
  <si>
    <t>Remaining</t>
  </si>
  <si>
    <t>Number Nothing Found</t>
  </si>
  <si>
    <t>Number Bad Email Addresses</t>
  </si>
  <si>
    <t>55-64</t>
  </si>
  <si>
    <t>Female</t>
  </si>
  <si>
    <t>35-44</t>
  </si>
  <si>
    <t>Male</t>
  </si>
  <si>
    <t>45-54</t>
  </si>
  <si>
    <t>65+</t>
  </si>
  <si>
    <t>25-34</t>
  </si>
  <si>
    <t>18-20</t>
  </si>
  <si>
    <t>21-24</t>
  </si>
  <si>
    <t>Name</t>
  </si>
  <si>
    <t>Loop Count</t>
  </si>
  <si>
    <t>Current Row</t>
  </si>
  <si>
    <t>Other Url</t>
  </si>
  <si>
    <t>Photo Present</t>
  </si>
  <si>
    <t>Url Present</t>
  </si>
  <si>
    <t>Total</t>
  </si>
  <si>
    <t>Count</t>
  </si>
  <si>
    <t>File</t>
  </si>
  <si>
    <t>% of Total</t>
  </si>
  <si>
    <t>Total Email Addresses</t>
  </si>
  <si>
    <t>Basic Contact Info Match Rates</t>
  </si>
  <si>
    <t>Basic Contact Info</t>
  </si>
  <si>
    <t>Matches</t>
  </si>
  <si>
    <t>Match Rate</t>
  </si>
  <si>
    <t>18-24</t>
  </si>
  <si>
    <t>Step 6.</t>
  </si>
  <si>
    <t>Generate a Report based on your results.</t>
  </si>
  <si>
    <t>Stats</t>
  </si>
  <si>
    <t>Number of Seeding Passes:</t>
  </si>
  <si>
    <t>Delay between Passes:</t>
  </si>
  <si>
    <t>Enter your FullContact API Key below and adjust other variables.  You can get a key at http://fullcontact.com.</t>
  </si>
  <si>
    <t>Notes:</t>
  </si>
  <si>
    <t>You can obtain an api key at http://fullcontact.com</t>
  </si>
  <si>
    <t>The largest data set this was tested on was 500k email addresses.</t>
  </si>
  <si>
    <t>It is recommended that you run several "seed" passes prior to getting your final results.  This allows FullContact to look for new data on email addresses it has not seen before or updated recently.</t>
  </si>
  <si>
    <t>The seeding pass uses the parameter queue=1 which will return a 202 in all cases (i.e. these don't count as "hits" for your key).</t>
  </si>
  <si>
    <t>If you need to take your computer offline while it is still processing, open visual basic and "pause" the macro.  You can re-start it at any time.</t>
  </si>
  <si>
    <t>If you are running this on a large data set, make sure your computer hard drive or power savings modes keep it from shutting down.</t>
  </si>
  <si>
    <t>The file will automatically save after every 10k email addresses are processed, as well as at the end.</t>
  </si>
  <si>
    <t>State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</si>
  <si>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</si>
  <si>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</si>
  <si>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</si>
  <si>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</si>
  <si>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</si>
  <si>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</si>
  <si>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</si>
  <si>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</si>
  <si>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</si>
  <si>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</si>
  <si>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</si>
  <si>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</si>
  <si>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</si>
  <si>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</si>
  <si>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</si>
  <si>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</si>
  <si>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</si>
  <si>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</si>
  <si>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</si>
  <si>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</si>
  <si>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</si>
  <si>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</si>
  <si>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</si>
  <si>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</si>
  <si>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</si>
  <si>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</si>
  <si>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</si>
  <si>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</si>
  <si>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Ohio</t>
  </si>
  <si>
    <t>Oklahoma</t>
  </si>
  <si>
    <t>Oregon</t>
  </si>
  <si>
    <t>Pennsylvania</t>
  </si>
  <si>
    <t>Tennessee</t>
  </si>
  <si>
    <t>Texas</t>
  </si>
  <si>
    <t>Utah</t>
  </si>
  <si>
    <t>Vermont</t>
  </si>
  <si>
    <t>Virginia</t>
  </si>
  <si>
    <t>Washington</t>
  </si>
  <si>
    <t>Wisconsin</t>
  </si>
  <si>
    <t>Wyoming</t>
  </si>
  <si>
    <t>New_Hampshire</t>
  </si>
  <si>
    <t>New_Jersey</t>
  </si>
  <si>
    <t>New_Mexico</t>
  </si>
  <si>
    <t>New_York</t>
  </si>
  <si>
    <t>North_Carolina</t>
  </si>
  <si>
    <t>North_Dakota</t>
  </si>
  <si>
    <t>Rhode_Island</t>
  </si>
  <si>
    <t>South_Carolina</t>
  </si>
  <si>
    <t>South_Dakota</t>
  </si>
  <si>
    <t>West_Virginia</t>
  </si>
  <si>
    <t>class1</t>
  </si>
  <si>
    <t>class2</t>
  </si>
  <si>
    <t>class3</t>
  </si>
  <si>
    <t>class4</t>
  </si>
  <si>
    <t>class5</t>
  </si>
  <si>
    <t>actReg</t>
  </si>
  <si>
    <t>actRegCode</t>
  </si>
  <si>
    <t>actRegValue</t>
  </si>
  <si>
    <t>Legend</t>
  </si>
  <si>
    <t>class0</t>
  </si>
  <si>
    <t>Heat Map - Approximate Matches in the United States by State</t>
  </si>
  <si>
    <t>Code</t>
  </si>
  <si>
    <t>Active Region</t>
  </si>
  <si>
    <t>Value</t>
  </si>
  <si>
    <r>
      <t xml:space="preserve">Export the results to csv. </t>
    </r>
    <r>
      <rPr>
        <sz val="10"/>
        <color rgb="FFFF0000"/>
        <rFont val="Arial"/>
        <family val="2"/>
      </rPr>
      <t>(note: this uses a custom function to export as UTF-8 so allow a couple minutes for large files)</t>
    </r>
  </si>
  <si>
    <t>Step 0.</t>
  </si>
  <si>
    <t>Make sure you have the latest version of this file.  https://github.com/fullcontact/fullcontact-excel</t>
  </si>
  <si>
    <t/>
  </si>
  <si>
    <t>District_of_Columbia</t>
  </si>
  <si>
    <t>Klout</t>
  </si>
  <si>
    <t>Flickr</t>
  </si>
  <si>
    <t>Google Plus</t>
  </si>
  <si>
    <t>Google+</t>
  </si>
  <si>
    <t>Klout Topics</t>
  </si>
  <si>
    <t>Klout Score</t>
  </si>
  <si>
    <t>Followers</t>
  </si>
  <si>
    <t>Following</t>
  </si>
  <si>
    <t>Bio</t>
  </si>
  <si>
    <t>RSS</t>
  </si>
  <si>
    <t>IM</t>
  </si>
  <si>
    <t>Has Followers</t>
  </si>
  <si>
    <t>Is Following</t>
  </si>
  <si>
    <t>Has Bio</t>
  </si>
  <si>
    <t>Has RSS</t>
  </si>
  <si>
    <t>Has IM</t>
  </si>
  <si>
    <t>Match</t>
  </si>
  <si>
    <t>%</t>
  </si>
  <si>
    <t>This has only been tested on Excel 2010 for Windows.  It does not run on Excel for Apple probably due to use of MSXML.</t>
  </si>
  <si>
    <t># Processed</t>
  </si>
  <si>
    <t># Not Found</t>
  </si>
  <si>
    <t># Bad Email Address</t>
  </si>
  <si>
    <t>(top 25 topics if available)</t>
  </si>
  <si>
    <t>Data for Topic Cloud</t>
  </si>
  <si>
    <t>isEmail</t>
  </si>
  <si>
    <t>isTwitter</t>
  </si>
  <si>
    <t>Enrich Contacts Using:</t>
  </si>
  <si>
    <t>&lt;-- john.doe@gmail.com</t>
  </si>
  <si>
    <t>&lt;-- john_doe (do not include the @)</t>
  </si>
  <si>
    <t xml:space="preserve">Below, select the form of enrichment that you will be using (email or twitter).  </t>
  </si>
  <si>
    <t>Enter your list of email addresses (or twittler handles) in column A of "InputSheet".  The first entry should be in Cell A2.</t>
  </si>
  <si>
    <t>Step 7.</t>
  </si>
  <si>
    <t>Step 8.</t>
  </si>
  <si>
    <t>Save the file in a format that allows macros (.xlsm).</t>
  </si>
  <si>
    <t xml:space="preserve">Klout Topic Cloud </t>
  </si>
  <si>
    <t>Deprecated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</si>
</sst>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40" x14ac:knownFonts="1">
    <font>
      <sz val="10"/>
      <name val="Arial"/>
    </font>
    <font>
      <sz val="14"/>
      <name val="Arial"/>
      <family val="2"/>
    </font>
    <font>
      <sz val="8"/>
      <name val="Arial"/>
      <family val="2"/>
    </font>
    <font>
      <b/>
      <sz val="10"/>
      <name val="Arial"/>
      <family val="2"/>
    </font>
    <font>
      <sz val="16"/>
      <color rgb="FF000000"/>
      <name val="Arial"/>
      <family val="2"/>
    </font>
    <font>
      <sz val="10"/>
      <name val="Arial"/>
      <family val="2"/>
    </font>
    <font>
      <sz val="10"/>
      <name val="Arial"/>
      <family val="2"/>
    </font>
    <font>
      <sz val="10"/>
      <color theme="0"/>
      <name val="Arial"/>
      <family val="2"/>
    </font>
    <font>
      <b/>
      <sz val="10"/>
      <color theme="0"/>
      <name val="Arial"/>
      <family val="2"/>
    </font>
    <font>
      <i/>
      <sz val="10"/>
      <color theme="0" tint="-0.34998626667073579"/>
      <name val="Arial"/>
      <family val="2"/>
    </font>
    <font>
      <b/>
      <sz val="14"/>
      <name val="Arial"/>
      <family val="2"/>
    </font>
    <font>
      <b/>
      <u/>
      <sz val="10"/>
      <name val="Arial"/>
      <family val="2"/>
    </font>
    <font>
      <sz val="10"/>
      <color rgb="FFFF0000"/>
      <name val="Arial"/>
      <family val="2"/>
    </font>
    <font>
      <u/>
      <sz val="10"/>
      <name val="Arial"/>
      <family val="2"/>
    </font>
    <font>
      <sz val="16"/>
      <color indexed="53"/>
      <name val="Arial"/>
      <family val="2"/>
    </font>
    <font>
      <sz val="18"/>
      <color indexed="53"/>
      <name val="Arial"/>
      <family val="2"/>
    </font>
    <font>
      <sz val="12"/>
      <color indexed="23"/>
      <name val="Arial"/>
      <family val="2"/>
    </font>
    <font>
      <sz val="12"/>
      <color indexed="22"/>
      <name val="Arial"/>
      <family val="2"/>
    </font>
    <font>
      <sz val="12"/>
      <color indexed="25"/>
      <name val="Arial"/>
      <family val="2"/>
    </font>
    <font>
      <sz val="12"/>
      <color indexed="31"/>
      <name val="Arial"/>
      <family val="2"/>
    </font>
    <font>
      <sz val="14"/>
      <color indexed="19"/>
      <name val="Arial"/>
      <family val="2"/>
    </font>
    <font>
      <sz val="18"/>
      <color indexed="16"/>
      <name val="Arial"/>
      <family val="2"/>
    </font>
    <font>
      <sz val="18"/>
      <color indexed="17"/>
      <name val="Arial"/>
      <family val="2"/>
    </font>
    <font>
      <sz val="18"/>
      <color indexed="18"/>
      <name val="Arial"/>
      <family val="2"/>
    </font>
    <font>
      <sz val="12"/>
      <color indexed="28"/>
      <name val="Arial"/>
      <family val="2"/>
    </font>
    <font>
      <sz val="12"/>
      <color indexed="29"/>
      <name val="Arial"/>
      <family val="2"/>
    </font>
    <font>
      <sz val="12"/>
      <color indexed="30"/>
      <name val="Arial"/>
      <family val="2"/>
    </font>
    <font>
      <sz val="12"/>
      <color indexed="32"/>
      <name val="Arial"/>
      <family val="2"/>
    </font>
    <font>
      <sz val="12"/>
      <color indexed="24"/>
      <name val="Arial"/>
      <family val="2"/>
    </font>
    <font>
      <sz val="12"/>
      <color indexed="33"/>
      <name val="Arial"/>
      <family val="2"/>
    </font>
    <font>
      <sz val="12"/>
      <color indexed="36"/>
      <name val="Arial"/>
      <family val="2"/>
    </font>
    <font>
      <sz val="26"/>
      <color indexed="10"/>
      <name val="Arial"/>
      <family val="2"/>
    </font>
    <font>
      <sz val="26"/>
      <color indexed="11"/>
      <name val="Arial"/>
      <family val="2"/>
    </font>
    <font>
      <sz val="26"/>
      <color indexed="12"/>
      <name val="Arial"/>
      <family val="2"/>
    </font>
    <font>
      <sz val="22"/>
      <color indexed="13"/>
      <name val="Arial"/>
      <family val="2"/>
    </font>
    <font>
      <sz val="22"/>
      <color indexed="14"/>
      <name val="Arial"/>
      <family val="2"/>
    </font>
    <font>
      <sz val="22"/>
      <color indexed="15"/>
      <name val="Arial"/>
      <family val="2"/>
    </font>
    <font>
      <sz val="14"/>
      <color indexed="21"/>
      <name val="Arial"/>
      <family val="2"/>
    </font>
    <font>
      <sz val="14"/>
      <color indexed="20"/>
      <name val="Arial"/>
      <family val="2"/>
    </font>
    <font>
      <sz val="9"/>
      <name val="Arial"/>
      <family val="2"/>
    </font>
  </fonts>
  <fills count="8">
    <fill>
      <patternFill patternType="none"/>
    </fill>
    <fill>
      <patternFill patternType="gray125"/>
    </fill>
    <fill>
      <patternFill patternType="solid">
        <fgColor theme="3" tint="0.59999389629810485"/>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8" tint="0.39997558519241921"/>
        <bgColor indexed="64"/>
      </patternFill>
    </fill>
  </fills>
  <borders count="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auto="1"/>
      </top>
      <bottom style="medium">
        <color auto="1"/>
      </bottom>
      <diagonal/>
    </border>
    <border>
      <left/>
      <right/>
      <top style="medium">
        <color auto="1"/>
      </top>
      <bottom style="medium">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6" fillId="0" borderId="0" applyFont="0" applyFill="0" applyBorder="0" applyAlignment="0" applyProtection="0"/>
  </cellStyleXfs>
  <cellXfs count="64">
    <xf numFmtId="0" fontId="0" fillId="0" borderId="0" xfId="0"/>
    <xf numFmtId="0" fontId="1" fillId="0" borderId="0" xfId="0" applyFont="1" applyAlignment="1">
      <alignment horizontal="right"/>
    </xf>
    <xf numFmtId="0" fontId="3" fillId="0" borderId="0" xfId="0" applyFont="1"/>
    <xf numFmtId="0" fontId="0" fillId="0" borderId="0" xfId="0" applyAlignment="1">
      <alignment horizontal="right"/>
    </xf>
    <xf numFmtId="0" fontId="5" fillId="0" borderId="0" xfId="0" applyFont="1"/>
    <xf numFmtId="0" fontId="0" fillId="0" borderId="0" xfId="0" applyFont="1" applyAlignment="1">
      <alignment horizontal="right"/>
    </xf>
    <xf numFmtId="0" fontId="5" fillId="0" borderId="0" xfId="0" applyFont="1" applyAlignment="1">
      <alignment horizontal="right"/>
    </xf>
    <xf numFmtId="10" fontId="0" fillId="0" borderId="0" xfId="1" applyNumberFormat="1" applyFont="1"/>
    <xf numFmtId="164" fontId="0" fillId="0" borderId="0" xfId="1" applyNumberFormat="1" applyFont="1"/>
    <xf numFmtId="0" fontId="9" fillId="0" borderId="0" xfId="0" applyFont="1"/>
    <xf numFmtId="10" fontId="0" fillId="0" borderId="0" xfId="0" applyNumberFormat="1"/>
    <xf numFmtId="0" fontId="0" fillId="0" borderId="4" xfId="0" applyBorder="1"/>
    <xf numFmtId="0" fontId="0" fillId="2" borderId="5" xfId="0" applyFill="1" applyBorder="1"/>
    <xf numFmtId="0" fontId="8" fillId="2" borderId="5" xfId="0" applyFont="1" applyFill="1" applyBorder="1"/>
    <xf numFmtId="0" fontId="5" fillId="0" borderId="0" xfId="0" applyFont="1" applyAlignment="1">
      <alignment horizontal="left"/>
    </xf>
    <xf numFmtId="0" fontId="10" fillId="0" borderId="0" xfId="0" applyFont="1"/>
    <xf numFmtId="0" fontId="7" fillId="2" borderId="5" xfId="0" applyFont="1" applyFill="1" applyBorder="1"/>
    <xf numFmtId="165" fontId="0" fillId="0" borderId="0" xfId="1" applyNumberFormat="1" applyFont="1"/>
    <xf numFmtId="0" fontId="1" fillId="0" borderId="0" xfId="0" applyFont="1" applyFill="1" applyBorder="1" applyAlignment="1">
      <alignment horizontal="center"/>
    </xf>
    <xf numFmtId="0" fontId="1" fillId="0" borderId="0" xfId="0" applyFont="1" applyFill="1" applyBorder="1" applyAlignment="1">
      <alignment horizontal="left"/>
    </xf>
    <xf numFmtId="0" fontId="1" fillId="3" borderId="6" xfId="0" applyFont="1" applyFill="1" applyBorder="1" applyAlignment="1">
      <alignment horizontal="center"/>
    </xf>
    <xf numFmtId="0" fontId="0" fillId="4" borderId="0" xfId="0" applyFill="1"/>
    <xf numFmtId="0" fontId="0" fillId="5" borderId="0" xfId="0" applyFill="1"/>
    <xf numFmtId="0" fontId="0" fillId="6" borderId="0" xfId="0" applyFill="1"/>
    <xf numFmtId="0" fontId="0" fillId="7" borderId="0" xfId="0" applyFill="1"/>
    <xf numFmtId="0" fontId="0" fillId="3" borderId="0" xfId="0" applyFill="1"/>
    <xf numFmtId="0" fontId="0" fillId="0" borderId="0" xfId="0" applyAlignment="1">
      <alignment horizontal="left"/>
    </xf>
    <xf numFmtId="0" fontId="5" fillId="0" borderId="0" xfId="0" quotePrefix="1" applyFont="1" applyAlignment="1">
      <alignment horizontal="right"/>
    </xf>
    <xf numFmtId="0" fontId="0" fillId="0" borderId="0" xfId="0" quotePrefix="1"/>
    <xf numFmtId="0" fontId="13" fillId="0" borderId="0" xfId="0" applyFont="1" applyAlignment="1">
      <alignment horizontal="right"/>
    </xf>
    <xf numFmtId="0" fontId="13" fillId="0" borderId="0" xfId="0" applyFont="1"/>
    <xf numFmtId="0" fontId="14" fillId="0" borderId="0" xfId="0" applyFont="1" applyAlignment="1">
      <alignment wrapText="1"/>
    </xf>
    <xf numFmtId="0" fontId="15" fillId="0" borderId="0" xfId="0" applyFont="1" applyAlignment="1">
      <alignment vertical="center" wrapText="1"/>
    </xf>
    <xf numFmtId="0" fontId="21" fillId="0" borderId="0" xfId="0" applyFont="1"/>
    <xf numFmtId="0" fontId="22" fillId="0" borderId="0" xfId="0" applyFont="1"/>
    <xf numFmtId="0" fontId="23" fillId="0" borderId="0" xfId="0" applyFont="1"/>
    <xf numFmtId="0" fontId="24" fillId="0" borderId="0" xfId="0" applyFont="1"/>
    <xf numFmtId="0" fontId="25" fillId="0" borderId="0" xfId="0" applyFont="1"/>
    <xf numFmtId="0" fontId="26" fillId="0" borderId="0" xfId="0" applyFont="1"/>
    <xf numFmtId="0" fontId="19" fillId="0" borderId="0" xfId="0" applyFont="1"/>
    <xf numFmtId="0" fontId="27" fillId="0" borderId="0" xfId="0" applyFont="1"/>
    <xf numFmtId="0" fontId="28" fillId="0" borderId="0" xfId="0" applyFont="1"/>
    <xf numFmtId="0" fontId="17" fillId="0" borderId="0" xfId="0" applyFont="1"/>
    <xf numFmtId="0" fontId="16" fillId="0" borderId="0" xfId="0" applyFont="1"/>
    <xf numFmtId="0" fontId="18" fillId="0" borderId="0" xfId="0" applyFont="1"/>
    <xf numFmtId="0" fontId="29" fillId="0" borderId="0" xfId="0" applyFont="1"/>
    <xf numFmtId="0" fontId="30" fillId="0" borderId="0" xfId="0" applyFont="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xf numFmtId="0" fontId="20" fillId="0" borderId="0" xfId="0" applyFont="1"/>
    <xf numFmtId="0" fontId="37" fillId="0" borderId="0" xfId="0" applyFont="1"/>
    <xf numFmtId="0" fontId="38" fillId="0" borderId="0" xfId="0" applyFont="1"/>
    <xf numFmtId="0" fontId="0" fillId="0" borderId="0" xfId="0" applyAlignment="1">
      <alignment vertical="center" wrapText="1"/>
    </xf>
    <xf numFmtId="0" fontId="39" fillId="0" borderId="0" xfId="0" applyFont="1"/>
    <xf numFmtId="0" fontId="11" fillId="0" borderId="0" xfId="0" applyFont="1"/>
    <xf numFmtId="0" fontId="35" fillId="0" borderId="0" xfId="0" applyFont="1" applyAlignment="1">
      <alignment vertical="center" wrapText="1"/>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11" fillId="0" borderId="0" xfId="0" applyFont="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barChart>
        <c:barDir val="bar"/>
        <c:grouping val="clustered"/>
        <c:varyColors val="0"/>
        <c:ser>
          <c:idx val="0"/>
          <c:order val="0"/>
          <c:tx>
            <c:strRef>
              <c:f>Report!$B$12</c:f>
              <c:strCache>
                <c:ptCount val="1"/>
                <c:pt idx="0">
                  <c:v>Basic Contact Info Match Rates</c:v>
                </c:pt>
              </c:strCache>
            </c:strRef>
          </c:tx>
          <c:invertIfNegative val="0"/>
          <c:cat>
            <c:strRef>
              <c:f>Report!$B$16:$B$36</c:f>
              <c:strCache>
                <c:ptCount val="21"/>
                <c:pt idx="0">
                  <c:v>Has IM</c:v>
                </c:pt>
                <c:pt idx="1">
                  <c:v>Google+</c:v>
                </c:pt>
                <c:pt idx="2">
                  <c:v>Company</c:v>
                </c:pt>
                <c:pt idx="3">
                  <c:v>Occupation</c:v>
                </c:pt>
                <c:pt idx="4">
                  <c:v>LinkedIn</c:v>
                </c:pt>
                <c:pt idx="5">
                  <c:v>Has RSS</c:v>
                </c:pt>
                <c:pt idx="6">
                  <c:v>Klout</c:v>
                </c:pt>
                <c:pt idx="7">
                  <c:v>Has Bio</c:v>
                </c:pt>
                <c:pt idx="8">
                  <c:v>Has Followers</c:v>
                </c:pt>
                <c:pt idx="9">
                  <c:v>Facebook</c:v>
                </c:pt>
                <c:pt idx="10">
                  <c:v>Is Following</c:v>
                </c:pt>
                <c:pt idx="11">
                  <c:v>Twitter</c:v>
                </c:pt>
                <c:pt idx="12">
                  <c:v>Flickr</c:v>
                </c:pt>
                <c:pt idx="13">
                  <c:v>Name</c:v>
                </c:pt>
                <c:pt idx="14">
                  <c:v>Other Url</c:v>
                </c:pt>
                <c:pt idx="15">
                  <c:v>MySpace</c:v>
                </c:pt>
                <c:pt idx="16">
                  <c:v>Photo Present</c:v>
                </c:pt>
                <c:pt idx="17">
                  <c:v>Url Present</c:v>
                </c:pt>
                <c:pt idx="18">
                  <c:v>Age</c:v>
                </c:pt>
                <c:pt idx="19">
                  <c:v>General Location</c:v>
                </c:pt>
                <c:pt idx="20">
                  <c:v>Gender</c:v>
                </c:pt>
              </c:strCache>
            </c:strRef>
          </c:cat>
          <c:val>
            <c:numRef>
              <c:f>Report!$F$16:$F$36</c:f>
              <c:numCache>
                <c:formatCode>0.00%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dLbls>
        <c:gapWidth val="150"/>
        <c:axId val="108689664"/>
        <c:axId val="108711936"/>
      </c:barChart>
      <c:catAx>
        <c:axId val="108689664"/>
        <c:scaling>
          <c:orientation val="minMax"/>
        </c:scaling>
        <c:delete val="0"/>
        <c:axPos val="l"/>
        <c:majorTickMark val="out"/>
        <c:minorTickMark val="none"/>
        <c:tickLblPos val="nextTo"/>
        <c:crossAx val="108711936"/>
        <c:crosses val="autoZero"/>
        <c:auto val="1"/>
        <c:lblAlgn val="ctr"/>
        <c:lblOffset val="100"/>
        <c:tickLblSkip val="1"/>
        <c:noMultiLvlLbl val="0"/>
      </c:catAx>
      <c:valAx>
        <c:axId val="108711936"/>
        <c:scaling>
          <c:orientation val="minMax"/>
        </c:scaling>
        <c:delete val="0"/>
        <c:axPos val="b"/>
        <c:majorGridlines/>
        <c:numFmt formatCode="0%" sourceLinked="0"/>
        <c:majorTickMark val="out"/>
        <c:minorTickMark val="none"/>
        <c:tickLblPos val="nextTo"/>
        <c:crossAx val="1086896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Gender</a:t>
            </a:r>
          </a:p>
        </c:rich>
      </c:tx>
      <c:layout/>
      <c:overlay val="0"/>
    </c:title>
    <c:autoTitleDeleted val="0"/>
    <c:plotArea>
      <c:layout/>
      <c:pieChart>
        <c:varyColors val="1"/>
        <c:ser>
          <c:idx val="0"/>
          <c:order val="0"/>
          <c:tx>
            <c:strRef>
              <c:f>Statistics!$C$40</c:f>
              <c:strCache>
                <c:ptCount val="1"/>
                <c:pt idx="0">
                  <c:v>Gender</c:v>
                </c:pt>
              </c:strCache>
            </c:strRef>
          </c:tx>
          <c:dLbls>
            <c:txPr>
              <a:bodyPr/>
              <a:lstStyle/>
              <a:p>
                <a:pPr>
                  <a:defRPr sz="1200" b="1"/>
                </a:pPr>
                <a:endParaRPr lang="en-US"/>
              </a:p>
            </c:txPr>
            <c:showLegendKey val="0"/>
            <c:showVal val="0"/>
            <c:showCatName val="0"/>
            <c:showSerName val="0"/>
            <c:showPercent val="1"/>
            <c:showBubbleSize val="0"/>
            <c:showLeaderLines val="1"/>
          </c:dLbls>
          <c:cat>
            <c:strRef>
              <c:f>Statistics!$D$39:$E$39</c:f>
              <c:strCache>
                <c:ptCount val="2"/>
                <c:pt idx="0">
                  <c:v>Male</c:v>
                </c:pt>
                <c:pt idx="1">
                  <c:v>Female</c:v>
                </c:pt>
              </c:strCache>
            </c:strRef>
          </c:cat>
          <c:val>
            <c:numRef>
              <c:f>Statistics!$D$40:$E$40</c:f>
              <c:numCache>
                <c:formatCode>General</c:formatCode>
                <c:ptCount val="2"/>
                <c:pt idx="0">
                  <c:v>0</c:v>
                </c:pt>
                <c:pt idx="1">
                  <c:v>0</c:v>
                </c:pt>
              </c:numCache>
            </c:numRef>
          </c:val>
        </c:ser>
        <c:dLbls>
          <c:showLegendKey val="0"/>
          <c:showVal val="0"/>
          <c:showCatName val="0"/>
          <c:showSerName val="0"/>
          <c:showPercent val="0"/>
          <c:showBubbleSize val="0"/>
          <c:showLeaderLines val="1"/>
        </c:dLbls>
        <c:firstSliceAng val="0"/>
      </c:pieChart>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Approximate Age</a:t>
            </a:r>
          </a:p>
        </c:rich>
      </c:tx>
      <c:layout/>
      <c:overlay val="0"/>
    </c:title>
    <c:autoTitleDeleted val="0"/>
    <c:plotArea>
      <c:layout/>
      <c:barChart>
        <c:barDir val="col"/>
        <c:grouping val="clustered"/>
        <c:varyColors val="0"/>
        <c:ser>
          <c:idx val="0"/>
          <c:order val="0"/>
          <c:tx>
            <c:v>Age</c:v>
          </c:tx>
          <c:invertIfNegative val="0"/>
          <c:cat>
            <c:strRef>
              <c:f>Statistics!$D$52:$D$57</c:f>
              <c:strCache>
                <c:ptCount val="6"/>
                <c:pt idx="0">
                  <c:v>18-24</c:v>
                </c:pt>
                <c:pt idx="1">
                  <c:v>25-34</c:v>
                </c:pt>
                <c:pt idx="2">
                  <c:v>35-44</c:v>
                </c:pt>
                <c:pt idx="3">
                  <c:v>45-54</c:v>
                </c:pt>
                <c:pt idx="4">
                  <c:v>55-64</c:v>
                </c:pt>
                <c:pt idx="5">
                  <c:v>65+</c:v>
                </c:pt>
              </c:strCache>
            </c:strRef>
          </c:cat>
          <c:val>
            <c:numRef>
              <c:f>Statistics!$E$52:$E$57</c:f>
              <c:numCache>
                <c:formatCode>0.0%</c:formatCode>
                <c:ptCount val="6"/>
                <c:pt idx="0">
                  <c:v>0</c:v>
                </c:pt>
                <c:pt idx="1">
                  <c:v>0</c:v>
                </c:pt>
                <c:pt idx="2">
                  <c:v>0</c:v>
                </c:pt>
                <c:pt idx="3">
                  <c:v>0</c:v>
                </c:pt>
                <c:pt idx="4">
                  <c:v>0</c:v>
                </c:pt>
                <c:pt idx="5">
                  <c:v>0</c:v>
                </c:pt>
              </c:numCache>
            </c:numRef>
          </c:val>
        </c:ser>
        <c:dLbls>
          <c:showLegendKey val="0"/>
          <c:showVal val="0"/>
          <c:showCatName val="0"/>
          <c:showSerName val="0"/>
          <c:showPercent val="0"/>
          <c:showBubbleSize val="0"/>
        </c:dLbls>
        <c:gapWidth val="150"/>
        <c:axId val="118483584"/>
        <c:axId val="118882688"/>
      </c:barChart>
      <c:catAx>
        <c:axId val="118483584"/>
        <c:scaling>
          <c:orientation val="minMax"/>
        </c:scaling>
        <c:delete val="0"/>
        <c:axPos val="b"/>
        <c:majorTickMark val="out"/>
        <c:minorTickMark val="none"/>
        <c:tickLblPos val="nextTo"/>
        <c:crossAx val="118882688"/>
        <c:crosses val="autoZero"/>
        <c:auto val="1"/>
        <c:lblAlgn val="ctr"/>
        <c:lblOffset val="100"/>
        <c:noMultiLvlLbl val="0"/>
      </c:catAx>
      <c:valAx>
        <c:axId val="118882688"/>
        <c:scaling>
          <c:orientation val="minMax"/>
        </c:scaling>
        <c:delete val="0"/>
        <c:axPos val="l"/>
        <c:majorGridlines/>
        <c:numFmt formatCode="0.0%" sourceLinked="1"/>
        <c:majorTickMark val="out"/>
        <c:minorTickMark val="none"/>
        <c:tickLblPos val="nextTo"/>
        <c:crossAx val="118483584"/>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3.png"/><Relationship Id="rId1" Type="http://schemas.openxmlformats.org/officeDocument/2006/relationships/chart" Target="../charts/chart1.xml"/><Relationship Id="rId4"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504825</xdr:colOff>
          <xdr:row>23</xdr:row>
          <xdr:rowOff>152400</xdr:rowOff>
        </xdr:from>
        <xdr:to>
          <xdr:col>9</xdr:col>
          <xdr:colOff>85725</xdr:colOff>
          <xdr:row>28</xdr:row>
          <xdr:rowOff>133350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Populate Contacts</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561975</xdr:colOff>
          <xdr:row>24</xdr:row>
          <xdr:rowOff>9525</xdr:rowOff>
        </xdr:from>
        <xdr:to>
          <xdr:col>5</xdr:col>
          <xdr:colOff>142875</xdr:colOff>
          <xdr:row>28</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Wipe Data</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323850</xdr:colOff>
          <xdr:row>24</xdr:row>
          <xdr:rowOff>0</xdr:rowOff>
        </xdr:from>
        <xdr:to>
          <xdr:col>12</xdr:col>
          <xdr:colOff>514350</xdr:colOff>
          <xdr:row>28</xdr:row>
          <xdr:rowOff>133350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Generate Report</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114300</xdr:colOff>
          <xdr:row>24</xdr:row>
          <xdr:rowOff>0</xdr:rowOff>
        </xdr:from>
        <xdr:to>
          <xdr:col>16</xdr:col>
          <xdr:colOff>304800</xdr:colOff>
          <xdr:row>28</xdr:row>
          <xdr:rowOff>133350</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600" b="0" i="0" u="none" strike="noStrike" baseline="0">
                  <a:solidFill>
                    <a:srgbClr val="000000"/>
                  </a:solidFill>
                  <a:latin typeface="Arial"/>
                  <a:cs typeface="Arial"/>
                </a:rPr>
                <a:t>Export to .csv</a:t>
              </a: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18</xdr:row>
          <xdr:rowOff>142875</xdr:rowOff>
        </xdr:from>
        <xdr:to>
          <xdr:col>9</xdr:col>
          <xdr:colOff>552450</xdr:colOff>
          <xdr:row>20</xdr:row>
          <xdr:rowOff>133350</xdr:rowOff>
        </xdr:to>
        <xdr:sp macro="" textlink="">
          <xdr:nvSpPr>
            <xdr:cNvPr id="1029" name="OptionButton1"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20</xdr:row>
          <xdr:rowOff>66675</xdr:rowOff>
        </xdr:from>
        <xdr:to>
          <xdr:col>9</xdr:col>
          <xdr:colOff>581025</xdr:colOff>
          <xdr:row>22</xdr:row>
          <xdr:rowOff>152400</xdr:rowOff>
        </xdr:to>
        <xdr:sp macro="" textlink="">
          <xdr:nvSpPr>
            <xdr:cNvPr id="1030" name="OptionButton2"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127000</xdr:colOff>
      <xdr:row>5</xdr:row>
      <xdr:rowOff>36511</xdr:rowOff>
    </xdr:from>
    <xdr:to>
      <xdr:col>15</xdr:col>
      <xdr:colOff>0</xdr:colOff>
      <xdr:row>29</xdr:row>
      <xdr:rowOff>69850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331923</xdr:colOff>
      <xdr:row>81</xdr:row>
      <xdr:rowOff>39407</xdr:rowOff>
    </xdr:from>
    <xdr:to>
      <xdr:col>4</xdr:col>
      <xdr:colOff>152069</xdr:colOff>
      <xdr:row>85</xdr:row>
      <xdr:rowOff>115794</xdr:rowOff>
    </xdr:to>
    <xdr:sp macro="" textlink="">
      <xdr:nvSpPr>
        <xdr:cNvPr id="7" name="Washington"/>
        <xdr:cNvSpPr/>
      </xdr:nvSpPr>
      <xdr:spPr>
        <a:xfrm>
          <a:off x="1055823" y="13552207"/>
          <a:ext cx="1039346" cy="736787"/>
        </a:xfrm>
        <a:custGeom>
          <a:avLst/>
          <a:gdLst>
            <a:gd name="connsiteX0" fmla="*/ 257175 w 981075"/>
            <a:gd name="connsiteY0" fmla="*/ 0 h 762000"/>
            <a:gd name="connsiteX1" fmla="*/ 257175 w 981075"/>
            <a:gd name="connsiteY1" fmla="*/ 0 h 762000"/>
            <a:gd name="connsiteX2" fmla="*/ 285750 w 981075"/>
            <a:gd name="connsiteY2" fmla="*/ 76200 h 762000"/>
            <a:gd name="connsiteX3" fmla="*/ 304800 w 981075"/>
            <a:gd name="connsiteY3" fmla="*/ 133350 h 762000"/>
            <a:gd name="connsiteX4" fmla="*/ 285750 w 981075"/>
            <a:gd name="connsiteY4" fmla="*/ 285750 h 762000"/>
            <a:gd name="connsiteX5" fmla="*/ 247650 w 981075"/>
            <a:gd name="connsiteY5" fmla="*/ 342900 h 762000"/>
            <a:gd name="connsiteX6" fmla="*/ 200025 w 981075"/>
            <a:gd name="connsiteY6" fmla="*/ 352425 h 762000"/>
            <a:gd name="connsiteX7" fmla="*/ 171450 w 981075"/>
            <a:gd name="connsiteY7" fmla="*/ 342900 h 762000"/>
            <a:gd name="connsiteX8" fmla="*/ 200025 w 981075"/>
            <a:gd name="connsiteY8" fmla="*/ 228600 h 762000"/>
            <a:gd name="connsiteX9" fmla="*/ 190500 w 981075"/>
            <a:gd name="connsiteY9" fmla="*/ 190500 h 762000"/>
            <a:gd name="connsiteX10" fmla="*/ 133350 w 981075"/>
            <a:gd name="connsiteY10" fmla="*/ 161925 h 762000"/>
            <a:gd name="connsiteX11" fmla="*/ 76200 w 981075"/>
            <a:gd name="connsiteY11" fmla="*/ 123825 h 762000"/>
            <a:gd name="connsiteX12" fmla="*/ 19050 w 981075"/>
            <a:gd name="connsiteY12" fmla="*/ 85725 h 762000"/>
            <a:gd name="connsiteX13" fmla="*/ 9525 w 981075"/>
            <a:gd name="connsiteY13" fmla="*/ 323850 h 762000"/>
            <a:gd name="connsiteX14" fmla="*/ 0 w 981075"/>
            <a:gd name="connsiteY14" fmla="*/ 400050 h 762000"/>
            <a:gd name="connsiteX15" fmla="*/ 28575 w 981075"/>
            <a:gd name="connsiteY15" fmla="*/ 476250 h 762000"/>
            <a:gd name="connsiteX16" fmla="*/ 38100 w 981075"/>
            <a:gd name="connsiteY16" fmla="*/ 504825 h 762000"/>
            <a:gd name="connsiteX17" fmla="*/ 66675 w 981075"/>
            <a:gd name="connsiteY17" fmla="*/ 523875 h 762000"/>
            <a:gd name="connsiteX18" fmla="*/ 85725 w 981075"/>
            <a:gd name="connsiteY18" fmla="*/ 552450 h 762000"/>
            <a:gd name="connsiteX19" fmla="*/ 95250 w 981075"/>
            <a:gd name="connsiteY19" fmla="*/ 609600 h 762000"/>
            <a:gd name="connsiteX20" fmla="*/ 123825 w 981075"/>
            <a:gd name="connsiteY20" fmla="*/ 628650 h 762000"/>
            <a:gd name="connsiteX21" fmla="*/ 257175 w 981075"/>
            <a:gd name="connsiteY21" fmla="*/ 647700 h 762000"/>
            <a:gd name="connsiteX22" fmla="*/ 323850 w 981075"/>
            <a:gd name="connsiteY22" fmla="*/ 666750 h 762000"/>
            <a:gd name="connsiteX23" fmla="*/ 419100 w 981075"/>
            <a:gd name="connsiteY23" fmla="*/ 676275 h 762000"/>
            <a:gd name="connsiteX24" fmla="*/ 495300 w 981075"/>
            <a:gd name="connsiteY24" fmla="*/ 695325 h 762000"/>
            <a:gd name="connsiteX25" fmla="*/ 533400 w 981075"/>
            <a:gd name="connsiteY25" fmla="*/ 704850 h 762000"/>
            <a:gd name="connsiteX26" fmla="*/ 666750 w 981075"/>
            <a:gd name="connsiteY26" fmla="*/ 723900 h 762000"/>
            <a:gd name="connsiteX27" fmla="*/ 752475 w 981075"/>
            <a:gd name="connsiteY27" fmla="*/ 752475 h 762000"/>
            <a:gd name="connsiteX28" fmla="*/ 819150 w 981075"/>
            <a:gd name="connsiteY28" fmla="*/ 762000 h 762000"/>
            <a:gd name="connsiteX29" fmla="*/ 866775 w 981075"/>
            <a:gd name="connsiteY29" fmla="*/ 685800 h 762000"/>
            <a:gd name="connsiteX30" fmla="*/ 885825 w 981075"/>
            <a:gd name="connsiteY30" fmla="*/ 628650 h 762000"/>
            <a:gd name="connsiteX31" fmla="*/ 895350 w 981075"/>
            <a:gd name="connsiteY31" fmla="*/ 561975 h 762000"/>
            <a:gd name="connsiteX32" fmla="*/ 904875 w 981075"/>
            <a:gd name="connsiteY32" fmla="*/ 514350 h 762000"/>
            <a:gd name="connsiteX33" fmla="*/ 914400 w 981075"/>
            <a:gd name="connsiteY33" fmla="*/ 447675 h 762000"/>
            <a:gd name="connsiteX34" fmla="*/ 923925 w 981075"/>
            <a:gd name="connsiteY34" fmla="*/ 409575 h 762000"/>
            <a:gd name="connsiteX35" fmla="*/ 933450 w 981075"/>
            <a:gd name="connsiteY35" fmla="*/ 352425 h 762000"/>
            <a:gd name="connsiteX36" fmla="*/ 962025 w 981075"/>
            <a:gd name="connsiteY36" fmla="*/ 285750 h 762000"/>
            <a:gd name="connsiteX37" fmla="*/ 981075 w 981075"/>
            <a:gd name="connsiteY37" fmla="*/ 219075 h 762000"/>
            <a:gd name="connsiteX38" fmla="*/ 952500 w 981075"/>
            <a:gd name="connsiteY38" fmla="*/ 209550 h 762000"/>
            <a:gd name="connsiteX39" fmla="*/ 923925 w 981075"/>
            <a:gd name="connsiteY39" fmla="*/ 190500 h 762000"/>
            <a:gd name="connsiteX40" fmla="*/ 876300 w 981075"/>
            <a:gd name="connsiteY40" fmla="*/ 180975 h 762000"/>
            <a:gd name="connsiteX41" fmla="*/ 847725 w 981075"/>
            <a:gd name="connsiteY41" fmla="*/ 161925 h 762000"/>
            <a:gd name="connsiteX42" fmla="*/ 723900 w 981075"/>
            <a:gd name="connsiteY42" fmla="*/ 142875 h 762000"/>
            <a:gd name="connsiteX43" fmla="*/ 609600 w 981075"/>
            <a:gd name="connsiteY43" fmla="*/ 104775 h 762000"/>
            <a:gd name="connsiteX44" fmla="*/ 533400 w 981075"/>
            <a:gd name="connsiteY44" fmla="*/ 85725 h 762000"/>
            <a:gd name="connsiteX45" fmla="*/ 400050 w 981075"/>
            <a:gd name="connsiteY45" fmla="*/ 76200 h 762000"/>
            <a:gd name="connsiteX46" fmla="*/ 285750 w 981075"/>
            <a:gd name="connsiteY46" fmla="*/ 47625 h 762000"/>
            <a:gd name="connsiteX47" fmla="*/ 257175 w 981075"/>
            <a:gd name="connsiteY47" fmla="*/ 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81075" h="762000">
              <a:moveTo>
                <a:pt x="257175" y="0"/>
              </a:moveTo>
              <a:lnTo>
                <a:pt x="257175" y="0"/>
              </a:lnTo>
              <a:cubicBezTo>
                <a:pt x="266700" y="25400"/>
                <a:pt x="276626" y="50653"/>
                <a:pt x="285750" y="76200"/>
              </a:cubicBezTo>
              <a:cubicBezTo>
                <a:pt x="292504" y="95111"/>
                <a:pt x="304800" y="133350"/>
                <a:pt x="304800" y="133350"/>
              </a:cubicBezTo>
              <a:cubicBezTo>
                <a:pt x="278250" y="266101"/>
                <a:pt x="318722" y="54945"/>
                <a:pt x="285750" y="285750"/>
              </a:cubicBezTo>
              <a:cubicBezTo>
                <a:pt x="282494" y="308545"/>
                <a:pt x="269199" y="332125"/>
                <a:pt x="247650" y="342900"/>
              </a:cubicBezTo>
              <a:cubicBezTo>
                <a:pt x="233170" y="350140"/>
                <a:pt x="215900" y="349250"/>
                <a:pt x="200025" y="352425"/>
              </a:cubicBezTo>
              <a:cubicBezTo>
                <a:pt x="190500" y="349250"/>
                <a:pt x="173419" y="352745"/>
                <a:pt x="171450" y="342900"/>
              </a:cubicBezTo>
              <a:cubicBezTo>
                <a:pt x="159001" y="280655"/>
                <a:pt x="174280" y="267218"/>
                <a:pt x="200025" y="228600"/>
              </a:cubicBezTo>
              <a:cubicBezTo>
                <a:pt x="196850" y="215900"/>
                <a:pt x="197762" y="201392"/>
                <a:pt x="190500" y="190500"/>
              </a:cubicBezTo>
              <a:cubicBezTo>
                <a:pt x="179949" y="174673"/>
                <a:pt x="149650" y="167358"/>
                <a:pt x="133350" y="161925"/>
              </a:cubicBezTo>
              <a:cubicBezTo>
                <a:pt x="69934" y="98509"/>
                <a:pt x="138231" y="158287"/>
                <a:pt x="76200" y="123825"/>
              </a:cubicBezTo>
              <a:cubicBezTo>
                <a:pt x="56186" y="112706"/>
                <a:pt x="19050" y="85725"/>
                <a:pt x="19050" y="85725"/>
              </a:cubicBezTo>
              <a:cubicBezTo>
                <a:pt x="15875" y="165100"/>
                <a:pt x="14331" y="244557"/>
                <a:pt x="9525" y="323850"/>
              </a:cubicBezTo>
              <a:cubicBezTo>
                <a:pt x="7976" y="349401"/>
                <a:pt x="0" y="374452"/>
                <a:pt x="0" y="400050"/>
              </a:cubicBezTo>
              <a:cubicBezTo>
                <a:pt x="0" y="455181"/>
                <a:pt x="8867" y="436835"/>
                <a:pt x="28575" y="476250"/>
              </a:cubicBezTo>
              <a:cubicBezTo>
                <a:pt x="33065" y="485230"/>
                <a:pt x="31828" y="496985"/>
                <a:pt x="38100" y="504825"/>
              </a:cubicBezTo>
              <a:cubicBezTo>
                <a:pt x="45251" y="513764"/>
                <a:pt x="57150" y="517525"/>
                <a:pt x="66675" y="523875"/>
              </a:cubicBezTo>
              <a:cubicBezTo>
                <a:pt x="73025" y="533400"/>
                <a:pt x="82105" y="541590"/>
                <a:pt x="85725" y="552450"/>
              </a:cubicBezTo>
              <a:cubicBezTo>
                <a:pt x="91832" y="570772"/>
                <a:pt x="86613" y="592326"/>
                <a:pt x="95250" y="609600"/>
              </a:cubicBezTo>
              <a:cubicBezTo>
                <a:pt x="100370" y="619839"/>
                <a:pt x="113586" y="623530"/>
                <a:pt x="123825" y="628650"/>
              </a:cubicBezTo>
              <a:cubicBezTo>
                <a:pt x="160474" y="646974"/>
                <a:pt x="230406" y="645266"/>
                <a:pt x="257175" y="647700"/>
              </a:cubicBezTo>
              <a:cubicBezTo>
                <a:pt x="277530" y="654485"/>
                <a:pt x="302920" y="663760"/>
                <a:pt x="323850" y="666750"/>
              </a:cubicBezTo>
              <a:cubicBezTo>
                <a:pt x="355438" y="671263"/>
                <a:pt x="387350" y="673100"/>
                <a:pt x="419100" y="676275"/>
              </a:cubicBezTo>
              <a:lnTo>
                <a:pt x="495300" y="695325"/>
              </a:lnTo>
              <a:cubicBezTo>
                <a:pt x="508000" y="698500"/>
                <a:pt x="520389" y="703404"/>
                <a:pt x="533400" y="704850"/>
              </a:cubicBezTo>
              <a:cubicBezTo>
                <a:pt x="574625" y="709431"/>
                <a:pt x="625050" y="712527"/>
                <a:pt x="666750" y="723900"/>
              </a:cubicBezTo>
              <a:lnTo>
                <a:pt x="752475" y="752475"/>
              </a:lnTo>
              <a:cubicBezTo>
                <a:pt x="773774" y="759575"/>
                <a:pt x="796925" y="758825"/>
                <a:pt x="819150" y="762000"/>
              </a:cubicBezTo>
              <a:cubicBezTo>
                <a:pt x="883362" y="745947"/>
                <a:pt x="847969" y="767292"/>
                <a:pt x="866775" y="685800"/>
              </a:cubicBezTo>
              <a:cubicBezTo>
                <a:pt x="871290" y="666234"/>
                <a:pt x="885825" y="628650"/>
                <a:pt x="885825" y="628650"/>
              </a:cubicBezTo>
              <a:cubicBezTo>
                <a:pt x="889000" y="606425"/>
                <a:pt x="891659" y="584120"/>
                <a:pt x="895350" y="561975"/>
              </a:cubicBezTo>
              <a:cubicBezTo>
                <a:pt x="898012" y="546006"/>
                <a:pt x="902213" y="530319"/>
                <a:pt x="904875" y="514350"/>
              </a:cubicBezTo>
              <a:cubicBezTo>
                <a:pt x="908566" y="492205"/>
                <a:pt x="910384" y="469764"/>
                <a:pt x="914400" y="447675"/>
              </a:cubicBezTo>
              <a:cubicBezTo>
                <a:pt x="916742" y="434795"/>
                <a:pt x="921358" y="422412"/>
                <a:pt x="923925" y="409575"/>
              </a:cubicBezTo>
              <a:cubicBezTo>
                <a:pt x="927713" y="390637"/>
                <a:pt x="929260" y="371278"/>
                <a:pt x="933450" y="352425"/>
              </a:cubicBezTo>
              <a:cubicBezTo>
                <a:pt x="940323" y="321496"/>
                <a:pt x="948585" y="317110"/>
                <a:pt x="962025" y="285750"/>
              </a:cubicBezTo>
              <a:cubicBezTo>
                <a:pt x="970224" y="266619"/>
                <a:pt x="976242" y="238409"/>
                <a:pt x="981075" y="219075"/>
              </a:cubicBezTo>
              <a:cubicBezTo>
                <a:pt x="971550" y="215900"/>
                <a:pt x="961480" y="214040"/>
                <a:pt x="952500" y="209550"/>
              </a:cubicBezTo>
              <a:cubicBezTo>
                <a:pt x="942261" y="204430"/>
                <a:pt x="934644" y="194520"/>
                <a:pt x="923925" y="190500"/>
              </a:cubicBezTo>
              <a:cubicBezTo>
                <a:pt x="908766" y="184816"/>
                <a:pt x="892175" y="184150"/>
                <a:pt x="876300" y="180975"/>
              </a:cubicBezTo>
              <a:cubicBezTo>
                <a:pt x="866775" y="174625"/>
                <a:pt x="858247" y="166434"/>
                <a:pt x="847725" y="161925"/>
              </a:cubicBezTo>
              <a:cubicBezTo>
                <a:pt x="818853" y="149551"/>
                <a:pt x="741109" y="144787"/>
                <a:pt x="723900" y="142875"/>
              </a:cubicBezTo>
              <a:lnTo>
                <a:pt x="609600" y="104775"/>
              </a:lnTo>
              <a:cubicBezTo>
                <a:pt x="580471" y="95065"/>
                <a:pt x="566998" y="89262"/>
                <a:pt x="533400" y="85725"/>
              </a:cubicBezTo>
              <a:cubicBezTo>
                <a:pt x="489082" y="81060"/>
                <a:pt x="444500" y="79375"/>
                <a:pt x="400050" y="76200"/>
              </a:cubicBezTo>
              <a:cubicBezTo>
                <a:pt x="324578" y="51043"/>
                <a:pt x="362707" y="60451"/>
                <a:pt x="285750" y="47625"/>
              </a:cubicBezTo>
              <a:lnTo>
                <a:pt x="2571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82166</xdr:colOff>
      <xdr:row>84</xdr:row>
      <xdr:rowOff>24279</xdr:rowOff>
    </xdr:from>
    <xdr:to>
      <xdr:col>4</xdr:col>
      <xdr:colOff>24702</xdr:colOff>
      <xdr:row>89</xdr:row>
      <xdr:rowOff>159124</xdr:rowOff>
    </xdr:to>
    <xdr:sp macro="" textlink="">
      <xdr:nvSpPr>
        <xdr:cNvPr id="8" name="Oregon"/>
        <xdr:cNvSpPr/>
      </xdr:nvSpPr>
      <xdr:spPr>
        <a:xfrm>
          <a:off x="806066" y="14032379"/>
          <a:ext cx="1161736" cy="960345"/>
        </a:xfrm>
        <a:custGeom>
          <a:avLst/>
          <a:gdLst>
            <a:gd name="connsiteX0" fmla="*/ 287857 w 1166218"/>
            <a:gd name="connsiteY0" fmla="*/ 0 h 990600"/>
            <a:gd name="connsiteX1" fmla="*/ 287857 w 1166218"/>
            <a:gd name="connsiteY1" fmla="*/ 0 h 990600"/>
            <a:gd name="connsiteX2" fmla="*/ 240232 w 1166218"/>
            <a:gd name="connsiteY2" fmla="*/ 133350 h 990600"/>
            <a:gd name="connsiteX3" fmla="*/ 230707 w 1166218"/>
            <a:gd name="connsiteY3" fmla="*/ 161925 h 990600"/>
            <a:gd name="connsiteX4" fmla="*/ 154507 w 1166218"/>
            <a:gd name="connsiteY4" fmla="*/ 276225 h 990600"/>
            <a:gd name="connsiteX5" fmla="*/ 144982 w 1166218"/>
            <a:gd name="connsiteY5" fmla="*/ 304800 h 990600"/>
            <a:gd name="connsiteX6" fmla="*/ 125932 w 1166218"/>
            <a:gd name="connsiteY6" fmla="*/ 333375 h 990600"/>
            <a:gd name="connsiteX7" fmla="*/ 68782 w 1166218"/>
            <a:gd name="connsiteY7" fmla="*/ 428625 h 990600"/>
            <a:gd name="connsiteX8" fmla="*/ 59257 w 1166218"/>
            <a:gd name="connsiteY8" fmla="*/ 457200 h 990600"/>
            <a:gd name="connsiteX9" fmla="*/ 21157 w 1166218"/>
            <a:gd name="connsiteY9" fmla="*/ 514350 h 990600"/>
            <a:gd name="connsiteX10" fmla="*/ 11632 w 1166218"/>
            <a:gd name="connsiteY10" fmla="*/ 704850 h 990600"/>
            <a:gd name="connsiteX11" fmla="*/ 2107 w 1166218"/>
            <a:gd name="connsiteY11" fmla="*/ 733425 h 990600"/>
            <a:gd name="connsiteX12" fmla="*/ 59257 w 1166218"/>
            <a:gd name="connsiteY12" fmla="*/ 742950 h 990600"/>
            <a:gd name="connsiteX13" fmla="*/ 116407 w 1166218"/>
            <a:gd name="connsiteY13" fmla="*/ 771525 h 990600"/>
            <a:gd name="connsiteX14" fmla="*/ 173557 w 1166218"/>
            <a:gd name="connsiteY14" fmla="*/ 800100 h 990600"/>
            <a:gd name="connsiteX15" fmla="*/ 240232 w 1166218"/>
            <a:gd name="connsiteY15" fmla="*/ 809625 h 990600"/>
            <a:gd name="connsiteX16" fmla="*/ 325957 w 1166218"/>
            <a:gd name="connsiteY16" fmla="*/ 838200 h 990600"/>
            <a:gd name="connsiteX17" fmla="*/ 354532 w 1166218"/>
            <a:gd name="connsiteY17" fmla="*/ 847725 h 990600"/>
            <a:gd name="connsiteX18" fmla="*/ 392632 w 1166218"/>
            <a:gd name="connsiteY18" fmla="*/ 857250 h 990600"/>
            <a:gd name="connsiteX19" fmla="*/ 421207 w 1166218"/>
            <a:gd name="connsiteY19" fmla="*/ 866775 h 990600"/>
            <a:gd name="connsiteX20" fmla="*/ 573607 w 1166218"/>
            <a:gd name="connsiteY20" fmla="*/ 895350 h 990600"/>
            <a:gd name="connsiteX21" fmla="*/ 602182 w 1166218"/>
            <a:gd name="connsiteY21" fmla="*/ 904875 h 990600"/>
            <a:gd name="connsiteX22" fmla="*/ 716482 w 1166218"/>
            <a:gd name="connsiteY22" fmla="*/ 923925 h 990600"/>
            <a:gd name="connsiteX23" fmla="*/ 802207 w 1166218"/>
            <a:gd name="connsiteY23" fmla="*/ 952500 h 990600"/>
            <a:gd name="connsiteX24" fmla="*/ 830782 w 1166218"/>
            <a:gd name="connsiteY24" fmla="*/ 962025 h 990600"/>
            <a:gd name="connsiteX25" fmla="*/ 878407 w 1166218"/>
            <a:gd name="connsiteY25" fmla="*/ 971550 h 990600"/>
            <a:gd name="connsiteX26" fmla="*/ 935557 w 1166218"/>
            <a:gd name="connsiteY26" fmla="*/ 990600 h 990600"/>
            <a:gd name="connsiteX27" fmla="*/ 983182 w 1166218"/>
            <a:gd name="connsiteY27" fmla="*/ 981075 h 990600"/>
            <a:gd name="connsiteX28" fmla="*/ 1002232 w 1166218"/>
            <a:gd name="connsiteY28" fmla="*/ 952500 h 990600"/>
            <a:gd name="connsiteX29" fmla="*/ 1021282 w 1166218"/>
            <a:gd name="connsiteY29" fmla="*/ 885825 h 990600"/>
            <a:gd name="connsiteX30" fmla="*/ 1040332 w 1166218"/>
            <a:gd name="connsiteY30" fmla="*/ 790575 h 990600"/>
            <a:gd name="connsiteX31" fmla="*/ 1049857 w 1166218"/>
            <a:gd name="connsiteY31" fmla="*/ 733425 h 990600"/>
            <a:gd name="connsiteX32" fmla="*/ 1059382 w 1166218"/>
            <a:gd name="connsiteY32" fmla="*/ 695325 h 990600"/>
            <a:gd name="connsiteX33" fmla="*/ 1078432 w 1166218"/>
            <a:gd name="connsiteY33" fmla="*/ 609600 h 990600"/>
            <a:gd name="connsiteX34" fmla="*/ 1059382 w 1166218"/>
            <a:gd name="connsiteY34" fmla="*/ 581025 h 990600"/>
            <a:gd name="connsiteX35" fmla="*/ 1068907 w 1166218"/>
            <a:gd name="connsiteY35" fmla="*/ 533400 h 990600"/>
            <a:gd name="connsiteX36" fmla="*/ 1097482 w 1166218"/>
            <a:gd name="connsiteY36" fmla="*/ 476250 h 990600"/>
            <a:gd name="connsiteX37" fmla="*/ 1126057 w 1166218"/>
            <a:gd name="connsiteY37" fmla="*/ 428625 h 990600"/>
            <a:gd name="connsiteX38" fmla="*/ 1164157 w 1166218"/>
            <a:gd name="connsiteY38" fmla="*/ 371475 h 990600"/>
            <a:gd name="connsiteX39" fmla="*/ 1154632 w 1166218"/>
            <a:gd name="connsiteY39" fmla="*/ 266700 h 990600"/>
            <a:gd name="connsiteX40" fmla="*/ 1078432 w 1166218"/>
            <a:gd name="connsiteY40" fmla="*/ 257175 h 990600"/>
            <a:gd name="connsiteX41" fmla="*/ 992707 w 1166218"/>
            <a:gd name="connsiteY41" fmla="*/ 228600 h 990600"/>
            <a:gd name="connsiteX42" fmla="*/ 926032 w 1166218"/>
            <a:gd name="connsiteY42" fmla="*/ 219075 h 990600"/>
            <a:gd name="connsiteX43" fmla="*/ 754582 w 1166218"/>
            <a:gd name="connsiteY43" fmla="*/ 209550 h 990600"/>
            <a:gd name="connsiteX44" fmla="*/ 716482 w 1166218"/>
            <a:gd name="connsiteY44" fmla="*/ 200025 h 990600"/>
            <a:gd name="connsiteX45" fmla="*/ 668857 w 1166218"/>
            <a:gd name="connsiteY45" fmla="*/ 190500 h 990600"/>
            <a:gd name="connsiteX46" fmla="*/ 640282 w 1166218"/>
            <a:gd name="connsiteY46" fmla="*/ 180975 h 990600"/>
            <a:gd name="connsiteX47" fmla="*/ 554557 w 1166218"/>
            <a:gd name="connsiteY47" fmla="*/ 171450 h 990600"/>
            <a:gd name="connsiteX48" fmla="*/ 478357 w 1166218"/>
            <a:gd name="connsiteY48" fmla="*/ 161925 h 990600"/>
            <a:gd name="connsiteX49" fmla="*/ 421207 w 1166218"/>
            <a:gd name="connsiteY49" fmla="*/ 142875 h 990600"/>
            <a:gd name="connsiteX50" fmla="*/ 392632 w 1166218"/>
            <a:gd name="connsiteY50" fmla="*/ 133350 h 990600"/>
            <a:gd name="connsiteX51" fmla="*/ 373582 w 1166218"/>
            <a:gd name="connsiteY51" fmla="*/ 104775 h 990600"/>
            <a:gd name="connsiteX52" fmla="*/ 335482 w 1166218"/>
            <a:gd name="connsiteY52" fmla="*/ 19050 h 990600"/>
            <a:gd name="connsiteX53" fmla="*/ 287857 w 1166218"/>
            <a:gd name="connsiteY53" fmla="*/ 0 h 990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1166218" h="990600">
              <a:moveTo>
                <a:pt x="287857" y="0"/>
              </a:moveTo>
              <a:lnTo>
                <a:pt x="287857" y="0"/>
              </a:lnTo>
              <a:cubicBezTo>
                <a:pt x="252231" y="95002"/>
                <a:pt x="267860" y="50465"/>
                <a:pt x="240232" y="133350"/>
              </a:cubicBezTo>
              <a:cubicBezTo>
                <a:pt x="237057" y="142875"/>
                <a:pt x="236276" y="153571"/>
                <a:pt x="230707" y="161925"/>
              </a:cubicBezTo>
              <a:lnTo>
                <a:pt x="154507" y="276225"/>
              </a:lnTo>
              <a:cubicBezTo>
                <a:pt x="148938" y="284579"/>
                <a:pt x="149472" y="295820"/>
                <a:pt x="144982" y="304800"/>
              </a:cubicBezTo>
              <a:cubicBezTo>
                <a:pt x="139862" y="315039"/>
                <a:pt x="131612" y="323436"/>
                <a:pt x="125932" y="333375"/>
              </a:cubicBezTo>
              <a:cubicBezTo>
                <a:pt x="67354" y="435887"/>
                <a:pt x="161985" y="288820"/>
                <a:pt x="68782" y="428625"/>
              </a:cubicBezTo>
              <a:cubicBezTo>
                <a:pt x="63213" y="436979"/>
                <a:pt x="64133" y="448423"/>
                <a:pt x="59257" y="457200"/>
              </a:cubicBezTo>
              <a:cubicBezTo>
                <a:pt x="48138" y="477214"/>
                <a:pt x="21157" y="514350"/>
                <a:pt x="21157" y="514350"/>
              </a:cubicBezTo>
              <a:cubicBezTo>
                <a:pt x="17982" y="577850"/>
                <a:pt x="17140" y="641510"/>
                <a:pt x="11632" y="704850"/>
              </a:cubicBezTo>
              <a:cubicBezTo>
                <a:pt x="10762" y="714852"/>
                <a:pt x="-5733" y="727153"/>
                <a:pt x="2107" y="733425"/>
              </a:cubicBezTo>
              <a:cubicBezTo>
                <a:pt x="17188" y="745490"/>
                <a:pt x="40207" y="739775"/>
                <a:pt x="59257" y="742950"/>
              </a:cubicBezTo>
              <a:cubicBezTo>
                <a:pt x="141149" y="797545"/>
                <a:pt x="37537" y="732090"/>
                <a:pt x="116407" y="771525"/>
              </a:cubicBezTo>
              <a:cubicBezTo>
                <a:pt x="153869" y="790256"/>
                <a:pt x="133655" y="792120"/>
                <a:pt x="173557" y="800100"/>
              </a:cubicBezTo>
              <a:cubicBezTo>
                <a:pt x="195572" y="804503"/>
                <a:pt x="218007" y="806450"/>
                <a:pt x="240232" y="809625"/>
              </a:cubicBezTo>
              <a:lnTo>
                <a:pt x="325957" y="838200"/>
              </a:lnTo>
              <a:cubicBezTo>
                <a:pt x="335482" y="841375"/>
                <a:pt x="344792" y="845290"/>
                <a:pt x="354532" y="847725"/>
              </a:cubicBezTo>
              <a:cubicBezTo>
                <a:pt x="367232" y="850900"/>
                <a:pt x="380045" y="853654"/>
                <a:pt x="392632" y="857250"/>
              </a:cubicBezTo>
              <a:cubicBezTo>
                <a:pt x="402286" y="860008"/>
                <a:pt x="411424" y="864517"/>
                <a:pt x="421207" y="866775"/>
              </a:cubicBezTo>
              <a:cubicBezTo>
                <a:pt x="480585" y="880478"/>
                <a:pt x="517211" y="885951"/>
                <a:pt x="573607" y="895350"/>
              </a:cubicBezTo>
              <a:cubicBezTo>
                <a:pt x="583132" y="898525"/>
                <a:pt x="592442" y="902440"/>
                <a:pt x="602182" y="904875"/>
              </a:cubicBezTo>
              <a:cubicBezTo>
                <a:pt x="639323" y="914160"/>
                <a:pt x="678848" y="918549"/>
                <a:pt x="716482" y="923925"/>
              </a:cubicBezTo>
              <a:lnTo>
                <a:pt x="802207" y="952500"/>
              </a:lnTo>
              <a:cubicBezTo>
                <a:pt x="811732" y="955675"/>
                <a:pt x="820937" y="960056"/>
                <a:pt x="830782" y="962025"/>
              </a:cubicBezTo>
              <a:cubicBezTo>
                <a:pt x="846657" y="965200"/>
                <a:pt x="862788" y="967290"/>
                <a:pt x="878407" y="971550"/>
              </a:cubicBezTo>
              <a:cubicBezTo>
                <a:pt x="897780" y="976834"/>
                <a:pt x="935557" y="990600"/>
                <a:pt x="935557" y="990600"/>
              </a:cubicBezTo>
              <a:cubicBezTo>
                <a:pt x="951432" y="987425"/>
                <a:pt x="969126" y="989107"/>
                <a:pt x="983182" y="981075"/>
              </a:cubicBezTo>
              <a:cubicBezTo>
                <a:pt x="993121" y="975395"/>
                <a:pt x="997112" y="962739"/>
                <a:pt x="1002232" y="952500"/>
              </a:cubicBezTo>
              <a:cubicBezTo>
                <a:pt x="1008479" y="940006"/>
                <a:pt x="1018993" y="896506"/>
                <a:pt x="1021282" y="885825"/>
              </a:cubicBezTo>
              <a:cubicBezTo>
                <a:pt x="1028066" y="854165"/>
                <a:pt x="1035009" y="822513"/>
                <a:pt x="1040332" y="790575"/>
              </a:cubicBezTo>
              <a:cubicBezTo>
                <a:pt x="1043507" y="771525"/>
                <a:pt x="1046069" y="752363"/>
                <a:pt x="1049857" y="733425"/>
              </a:cubicBezTo>
              <a:cubicBezTo>
                <a:pt x="1052424" y="720588"/>
                <a:pt x="1056815" y="708162"/>
                <a:pt x="1059382" y="695325"/>
              </a:cubicBezTo>
              <a:cubicBezTo>
                <a:pt x="1076145" y="611508"/>
                <a:pt x="1059895" y="665212"/>
                <a:pt x="1078432" y="609600"/>
              </a:cubicBezTo>
              <a:cubicBezTo>
                <a:pt x="1072082" y="600075"/>
                <a:pt x="1060802" y="592384"/>
                <a:pt x="1059382" y="581025"/>
              </a:cubicBezTo>
              <a:cubicBezTo>
                <a:pt x="1057374" y="564961"/>
                <a:pt x="1064980" y="549106"/>
                <a:pt x="1068907" y="533400"/>
              </a:cubicBezTo>
              <a:cubicBezTo>
                <a:pt x="1077475" y="499129"/>
                <a:pt x="1078082" y="507290"/>
                <a:pt x="1097482" y="476250"/>
              </a:cubicBezTo>
              <a:cubicBezTo>
                <a:pt x="1107294" y="460551"/>
                <a:pt x="1116118" y="444244"/>
                <a:pt x="1126057" y="428625"/>
              </a:cubicBezTo>
              <a:cubicBezTo>
                <a:pt x="1138349" y="409309"/>
                <a:pt x="1164157" y="371475"/>
                <a:pt x="1164157" y="371475"/>
              </a:cubicBezTo>
              <a:cubicBezTo>
                <a:pt x="1160982" y="336550"/>
                <a:pt x="1175673" y="294755"/>
                <a:pt x="1154632" y="266700"/>
              </a:cubicBezTo>
              <a:cubicBezTo>
                <a:pt x="1139273" y="246222"/>
                <a:pt x="1103461" y="262538"/>
                <a:pt x="1078432" y="257175"/>
              </a:cubicBezTo>
              <a:lnTo>
                <a:pt x="992707" y="228600"/>
              </a:lnTo>
              <a:cubicBezTo>
                <a:pt x="971408" y="221500"/>
                <a:pt x="948411" y="220865"/>
                <a:pt x="926032" y="219075"/>
              </a:cubicBezTo>
              <a:cubicBezTo>
                <a:pt x="868976" y="214511"/>
                <a:pt x="811732" y="212725"/>
                <a:pt x="754582" y="209550"/>
              </a:cubicBezTo>
              <a:cubicBezTo>
                <a:pt x="741882" y="206375"/>
                <a:pt x="729261" y="202865"/>
                <a:pt x="716482" y="200025"/>
              </a:cubicBezTo>
              <a:cubicBezTo>
                <a:pt x="700678" y="196513"/>
                <a:pt x="684563" y="194427"/>
                <a:pt x="668857" y="190500"/>
              </a:cubicBezTo>
              <a:cubicBezTo>
                <a:pt x="659117" y="188065"/>
                <a:pt x="650186" y="182626"/>
                <a:pt x="640282" y="180975"/>
              </a:cubicBezTo>
              <a:cubicBezTo>
                <a:pt x="611922" y="176248"/>
                <a:pt x="583111" y="174809"/>
                <a:pt x="554557" y="171450"/>
              </a:cubicBezTo>
              <a:lnTo>
                <a:pt x="478357" y="161925"/>
              </a:lnTo>
              <a:lnTo>
                <a:pt x="421207" y="142875"/>
              </a:lnTo>
              <a:lnTo>
                <a:pt x="392632" y="133350"/>
              </a:lnTo>
              <a:cubicBezTo>
                <a:pt x="386282" y="123825"/>
                <a:pt x="378231" y="115236"/>
                <a:pt x="373582" y="104775"/>
              </a:cubicBezTo>
              <a:cubicBezTo>
                <a:pt x="364750" y="84904"/>
                <a:pt x="357782" y="36890"/>
                <a:pt x="335482" y="19050"/>
              </a:cubicBezTo>
              <a:cubicBezTo>
                <a:pt x="322321" y="8521"/>
                <a:pt x="295795" y="3175"/>
                <a:pt x="28785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528587</xdr:colOff>
      <xdr:row>88</xdr:row>
      <xdr:rowOff>81616</xdr:rowOff>
    </xdr:from>
    <xdr:to>
      <xdr:col>4</xdr:col>
      <xdr:colOff>43372</xdr:colOff>
      <xdr:row>100</xdr:row>
      <xdr:rowOff>92262</xdr:rowOff>
    </xdr:to>
    <xdr:sp macro="" textlink="">
      <xdr:nvSpPr>
        <xdr:cNvPr id="9" name="California"/>
        <xdr:cNvSpPr/>
      </xdr:nvSpPr>
      <xdr:spPr>
        <a:xfrm>
          <a:off x="642887" y="14750116"/>
          <a:ext cx="1343585" cy="1991846"/>
        </a:xfrm>
        <a:custGeom>
          <a:avLst/>
          <a:gdLst>
            <a:gd name="connsiteX0" fmla="*/ 85725 w 1228725"/>
            <a:gd name="connsiteY0" fmla="*/ 0 h 2057400"/>
            <a:gd name="connsiteX1" fmla="*/ 85725 w 1228725"/>
            <a:gd name="connsiteY1" fmla="*/ 0 h 2057400"/>
            <a:gd name="connsiteX2" fmla="*/ 95250 w 1228725"/>
            <a:gd name="connsiteY2" fmla="*/ 123825 h 2057400"/>
            <a:gd name="connsiteX3" fmla="*/ 85725 w 1228725"/>
            <a:gd name="connsiteY3" fmla="*/ 152400 h 2057400"/>
            <a:gd name="connsiteX4" fmla="*/ 28575 w 1228725"/>
            <a:gd name="connsiteY4" fmla="*/ 190500 h 2057400"/>
            <a:gd name="connsiteX5" fmla="*/ 19050 w 1228725"/>
            <a:gd name="connsiteY5" fmla="*/ 285750 h 2057400"/>
            <a:gd name="connsiteX6" fmla="*/ 38100 w 1228725"/>
            <a:gd name="connsiteY6" fmla="*/ 342900 h 2057400"/>
            <a:gd name="connsiteX7" fmla="*/ 47625 w 1228725"/>
            <a:gd name="connsiteY7" fmla="*/ 371475 h 2057400"/>
            <a:gd name="connsiteX8" fmla="*/ 28575 w 1228725"/>
            <a:gd name="connsiteY8" fmla="*/ 485775 h 2057400"/>
            <a:gd name="connsiteX9" fmla="*/ 0 w 1228725"/>
            <a:gd name="connsiteY9" fmla="*/ 581025 h 2057400"/>
            <a:gd name="connsiteX10" fmla="*/ 9525 w 1228725"/>
            <a:gd name="connsiteY10" fmla="*/ 666750 h 2057400"/>
            <a:gd name="connsiteX11" fmla="*/ 19050 w 1228725"/>
            <a:gd name="connsiteY11" fmla="*/ 695325 h 2057400"/>
            <a:gd name="connsiteX12" fmla="*/ 47625 w 1228725"/>
            <a:gd name="connsiteY12" fmla="*/ 723900 h 2057400"/>
            <a:gd name="connsiteX13" fmla="*/ 66675 w 1228725"/>
            <a:gd name="connsiteY13" fmla="*/ 752475 h 2057400"/>
            <a:gd name="connsiteX14" fmla="*/ 76200 w 1228725"/>
            <a:gd name="connsiteY14" fmla="*/ 781050 h 2057400"/>
            <a:gd name="connsiteX15" fmla="*/ 104775 w 1228725"/>
            <a:gd name="connsiteY15" fmla="*/ 790575 h 2057400"/>
            <a:gd name="connsiteX16" fmla="*/ 171450 w 1228725"/>
            <a:gd name="connsiteY16" fmla="*/ 800100 h 2057400"/>
            <a:gd name="connsiteX17" fmla="*/ 161925 w 1228725"/>
            <a:gd name="connsiteY17" fmla="*/ 838200 h 2057400"/>
            <a:gd name="connsiteX18" fmla="*/ 133350 w 1228725"/>
            <a:gd name="connsiteY18" fmla="*/ 857250 h 2057400"/>
            <a:gd name="connsiteX19" fmla="*/ 114300 w 1228725"/>
            <a:gd name="connsiteY19" fmla="*/ 914400 h 2057400"/>
            <a:gd name="connsiteX20" fmla="*/ 123825 w 1228725"/>
            <a:gd name="connsiteY20" fmla="*/ 990600 h 2057400"/>
            <a:gd name="connsiteX21" fmla="*/ 180975 w 1228725"/>
            <a:gd name="connsiteY21" fmla="*/ 1038225 h 2057400"/>
            <a:gd name="connsiteX22" fmla="*/ 190500 w 1228725"/>
            <a:gd name="connsiteY22" fmla="*/ 1066800 h 2057400"/>
            <a:gd name="connsiteX23" fmla="*/ 209550 w 1228725"/>
            <a:gd name="connsiteY23" fmla="*/ 1200150 h 2057400"/>
            <a:gd name="connsiteX24" fmla="*/ 247650 w 1228725"/>
            <a:gd name="connsiteY24" fmla="*/ 1257300 h 2057400"/>
            <a:gd name="connsiteX25" fmla="*/ 266700 w 1228725"/>
            <a:gd name="connsiteY25" fmla="*/ 1285875 h 2057400"/>
            <a:gd name="connsiteX26" fmla="*/ 285750 w 1228725"/>
            <a:gd name="connsiteY26" fmla="*/ 1314450 h 2057400"/>
            <a:gd name="connsiteX27" fmla="*/ 304800 w 1228725"/>
            <a:gd name="connsiteY27" fmla="*/ 1409700 h 2057400"/>
            <a:gd name="connsiteX28" fmla="*/ 314325 w 1228725"/>
            <a:gd name="connsiteY28" fmla="*/ 1495425 h 2057400"/>
            <a:gd name="connsiteX29" fmla="*/ 323850 w 1228725"/>
            <a:gd name="connsiteY29" fmla="*/ 1524000 h 2057400"/>
            <a:gd name="connsiteX30" fmla="*/ 381000 w 1228725"/>
            <a:gd name="connsiteY30" fmla="*/ 1562100 h 2057400"/>
            <a:gd name="connsiteX31" fmla="*/ 438150 w 1228725"/>
            <a:gd name="connsiteY31" fmla="*/ 1590675 h 2057400"/>
            <a:gd name="connsiteX32" fmla="*/ 523875 w 1228725"/>
            <a:gd name="connsiteY32" fmla="*/ 1638300 h 2057400"/>
            <a:gd name="connsiteX33" fmla="*/ 552450 w 1228725"/>
            <a:gd name="connsiteY33" fmla="*/ 1647825 h 2057400"/>
            <a:gd name="connsiteX34" fmla="*/ 609600 w 1228725"/>
            <a:gd name="connsiteY34" fmla="*/ 1695450 h 2057400"/>
            <a:gd name="connsiteX35" fmla="*/ 638175 w 1228725"/>
            <a:gd name="connsiteY35" fmla="*/ 1733550 h 2057400"/>
            <a:gd name="connsiteX36" fmla="*/ 657225 w 1228725"/>
            <a:gd name="connsiteY36" fmla="*/ 1762125 h 2057400"/>
            <a:gd name="connsiteX37" fmla="*/ 723900 w 1228725"/>
            <a:gd name="connsiteY37" fmla="*/ 1828800 h 2057400"/>
            <a:gd name="connsiteX38" fmla="*/ 771525 w 1228725"/>
            <a:gd name="connsiteY38" fmla="*/ 1885950 h 2057400"/>
            <a:gd name="connsiteX39" fmla="*/ 781050 w 1228725"/>
            <a:gd name="connsiteY39" fmla="*/ 1914525 h 2057400"/>
            <a:gd name="connsiteX40" fmla="*/ 790575 w 1228725"/>
            <a:gd name="connsiteY40" fmla="*/ 1990725 h 2057400"/>
            <a:gd name="connsiteX41" fmla="*/ 876300 w 1228725"/>
            <a:gd name="connsiteY41" fmla="*/ 2000250 h 2057400"/>
            <a:gd name="connsiteX42" fmla="*/ 914400 w 1228725"/>
            <a:gd name="connsiteY42" fmla="*/ 2009775 h 2057400"/>
            <a:gd name="connsiteX43" fmla="*/ 942975 w 1228725"/>
            <a:gd name="connsiteY43" fmla="*/ 2028825 h 2057400"/>
            <a:gd name="connsiteX44" fmla="*/ 1076325 w 1228725"/>
            <a:gd name="connsiteY44" fmla="*/ 2057400 h 2057400"/>
            <a:gd name="connsiteX45" fmla="*/ 1123950 w 1228725"/>
            <a:gd name="connsiteY45" fmla="*/ 2047875 h 2057400"/>
            <a:gd name="connsiteX46" fmla="*/ 1181100 w 1228725"/>
            <a:gd name="connsiteY46" fmla="*/ 2009775 h 2057400"/>
            <a:gd name="connsiteX47" fmla="*/ 1190625 w 1228725"/>
            <a:gd name="connsiteY47" fmla="*/ 1981200 h 2057400"/>
            <a:gd name="connsiteX48" fmla="*/ 1171575 w 1228725"/>
            <a:gd name="connsiteY48" fmla="*/ 1924050 h 2057400"/>
            <a:gd name="connsiteX49" fmla="*/ 1181100 w 1228725"/>
            <a:gd name="connsiteY49" fmla="*/ 1866900 h 2057400"/>
            <a:gd name="connsiteX50" fmla="*/ 1200150 w 1228725"/>
            <a:gd name="connsiteY50" fmla="*/ 1828800 h 2057400"/>
            <a:gd name="connsiteX51" fmla="*/ 1228725 w 1228725"/>
            <a:gd name="connsiteY51" fmla="*/ 1771650 h 2057400"/>
            <a:gd name="connsiteX52" fmla="*/ 1209675 w 1228725"/>
            <a:gd name="connsiteY52" fmla="*/ 1704975 h 2057400"/>
            <a:gd name="connsiteX53" fmla="*/ 1190625 w 1228725"/>
            <a:gd name="connsiteY53" fmla="*/ 1676400 h 2057400"/>
            <a:gd name="connsiteX54" fmla="*/ 1171575 w 1228725"/>
            <a:gd name="connsiteY54" fmla="*/ 1571625 h 2057400"/>
            <a:gd name="connsiteX55" fmla="*/ 1152525 w 1228725"/>
            <a:gd name="connsiteY55" fmla="*/ 1543050 h 2057400"/>
            <a:gd name="connsiteX56" fmla="*/ 1123950 w 1228725"/>
            <a:gd name="connsiteY56" fmla="*/ 1485900 h 2057400"/>
            <a:gd name="connsiteX57" fmla="*/ 1095375 w 1228725"/>
            <a:gd name="connsiteY57" fmla="*/ 1466850 h 2057400"/>
            <a:gd name="connsiteX58" fmla="*/ 1028700 w 1228725"/>
            <a:gd name="connsiteY58" fmla="*/ 1381125 h 2057400"/>
            <a:gd name="connsiteX59" fmla="*/ 1009650 w 1228725"/>
            <a:gd name="connsiteY59" fmla="*/ 1352550 h 2057400"/>
            <a:gd name="connsiteX60" fmla="*/ 981075 w 1228725"/>
            <a:gd name="connsiteY60" fmla="*/ 1323975 h 2057400"/>
            <a:gd name="connsiteX61" fmla="*/ 933450 w 1228725"/>
            <a:gd name="connsiteY61" fmla="*/ 1266825 h 2057400"/>
            <a:gd name="connsiteX62" fmla="*/ 885825 w 1228725"/>
            <a:gd name="connsiteY62" fmla="*/ 1181100 h 2057400"/>
            <a:gd name="connsiteX63" fmla="*/ 866775 w 1228725"/>
            <a:gd name="connsiteY63" fmla="*/ 1143000 h 2057400"/>
            <a:gd name="connsiteX64" fmla="*/ 847725 w 1228725"/>
            <a:gd name="connsiteY64" fmla="*/ 1114425 h 2057400"/>
            <a:gd name="connsiteX65" fmla="*/ 838200 w 1228725"/>
            <a:gd name="connsiteY65" fmla="*/ 1085850 h 2057400"/>
            <a:gd name="connsiteX66" fmla="*/ 800100 w 1228725"/>
            <a:gd name="connsiteY66" fmla="*/ 1028700 h 2057400"/>
            <a:gd name="connsiteX67" fmla="*/ 781050 w 1228725"/>
            <a:gd name="connsiteY67" fmla="*/ 1000125 h 2057400"/>
            <a:gd name="connsiteX68" fmla="*/ 723900 w 1228725"/>
            <a:gd name="connsiteY68" fmla="*/ 942975 h 2057400"/>
            <a:gd name="connsiteX69" fmla="*/ 685800 w 1228725"/>
            <a:gd name="connsiteY69" fmla="*/ 885825 h 2057400"/>
            <a:gd name="connsiteX70" fmla="*/ 647700 w 1228725"/>
            <a:gd name="connsiteY70" fmla="*/ 828675 h 2057400"/>
            <a:gd name="connsiteX71" fmla="*/ 619125 w 1228725"/>
            <a:gd name="connsiteY71" fmla="*/ 809625 h 2057400"/>
            <a:gd name="connsiteX72" fmla="*/ 609600 w 1228725"/>
            <a:gd name="connsiteY72" fmla="*/ 781050 h 2057400"/>
            <a:gd name="connsiteX73" fmla="*/ 571500 w 1228725"/>
            <a:gd name="connsiteY73" fmla="*/ 723900 h 2057400"/>
            <a:gd name="connsiteX74" fmla="*/ 561975 w 1228725"/>
            <a:gd name="connsiteY74" fmla="*/ 695325 h 2057400"/>
            <a:gd name="connsiteX75" fmla="*/ 581025 w 1228725"/>
            <a:gd name="connsiteY75" fmla="*/ 438150 h 2057400"/>
            <a:gd name="connsiteX76" fmla="*/ 590550 w 1228725"/>
            <a:gd name="connsiteY76" fmla="*/ 400050 h 2057400"/>
            <a:gd name="connsiteX77" fmla="*/ 609600 w 1228725"/>
            <a:gd name="connsiteY77" fmla="*/ 371475 h 2057400"/>
            <a:gd name="connsiteX78" fmla="*/ 628650 w 1228725"/>
            <a:gd name="connsiteY78" fmla="*/ 314325 h 2057400"/>
            <a:gd name="connsiteX79" fmla="*/ 647700 w 1228725"/>
            <a:gd name="connsiteY79" fmla="*/ 257175 h 2057400"/>
            <a:gd name="connsiteX80" fmla="*/ 657225 w 1228725"/>
            <a:gd name="connsiteY80" fmla="*/ 228600 h 2057400"/>
            <a:gd name="connsiteX81" fmla="*/ 666750 w 1228725"/>
            <a:gd name="connsiteY81" fmla="*/ 200025 h 2057400"/>
            <a:gd name="connsiteX82" fmla="*/ 657225 w 1228725"/>
            <a:gd name="connsiteY82" fmla="*/ 152400 h 2057400"/>
            <a:gd name="connsiteX83" fmla="*/ 628650 w 1228725"/>
            <a:gd name="connsiteY83" fmla="*/ 142875 h 2057400"/>
            <a:gd name="connsiteX84" fmla="*/ 523875 w 1228725"/>
            <a:gd name="connsiteY84" fmla="*/ 133350 h 2057400"/>
            <a:gd name="connsiteX85" fmla="*/ 428625 w 1228725"/>
            <a:gd name="connsiteY85" fmla="*/ 104775 h 2057400"/>
            <a:gd name="connsiteX86" fmla="*/ 400050 w 1228725"/>
            <a:gd name="connsiteY86" fmla="*/ 95250 h 2057400"/>
            <a:gd name="connsiteX87" fmla="*/ 371475 w 1228725"/>
            <a:gd name="connsiteY87" fmla="*/ 85725 h 2057400"/>
            <a:gd name="connsiteX88" fmla="*/ 342900 w 1228725"/>
            <a:gd name="connsiteY88" fmla="*/ 57150 h 2057400"/>
            <a:gd name="connsiteX89" fmla="*/ 247650 w 1228725"/>
            <a:gd name="connsiteY89" fmla="*/ 28575 h 2057400"/>
            <a:gd name="connsiteX90" fmla="*/ 219075 w 1228725"/>
            <a:gd name="connsiteY90" fmla="*/ 19050 h 2057400"/>
            <a:gd name="connsiteX91" fmla="*/ 180975 w 1228725"/>
            <a:gd name="connsiteY91" fmla="*/ 9525 h 2057400"/>
            <a:gd name="connsiteX92" fmla="*/ 85725 w 1228725"/>
            <a:gd name="connsiteY92" fmla="*/ 0 h 2057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1228725" h="2057400">
              <a:moveTo>
                <a:pt x="85725" y="0"/>
              </a:moveTo>
              <a:lnTo>
                <a:pt x="85725" y="0"/>
              </a:lnTo>
              <a:cubicBezTo>
                <a:pt x="88900" y="41275"/>
                <a:pt x="95250" y="82428"/>
                <a:pt x="95250" y="123825"/>
              </a:cubicBezTo>
              <a:cubicBezTo>
                <a:pt x="95250" y="133865"/>
                <a:pt x="92825" y="145300"/>
                <a:pt x="85725" y="152400"/>
              </a:cubicBezTo>
              <a:cubicBezTo>
                <a:pt x="69536" y="168589"/>
                <a:pt x="28575" y="190500"/>
                <a:pt x="28575" y="190500"/>
              </a:cubicBezTo>
              <a:cubicBezTo>
                <a:pt x="7710" y="253096"/>
                <a:pt x="3139" y="232715"/>
                <a:pt x="19050" y="285750"/>
              </a:cubicBezTo>
              <a:cubicBezTo>
                <a:pt x="24820" y="304984"/>
                <a:pt x="31750" y="323850"/>
                <a:pt x="38100" y="342900"/>
              </a:cubicBezTo>
              <a:lnTo>
                <a:pt x="47625" y="371475"/>
              </a:lnTo>
              <a:cubicBezTo>
                <a:pt x="41275" y="409575"/>
                <a:pt x="40789" y="449132"/>
                <a:pt x="28575" y="485775"/>
              </a:cubicBezTo>
              <a:cubicBezTo>
                <a:pt x="5385" y="555344"/>
                <a:pt x="14395" y="523444"/>
                <a:pt x="0" y="581025"/>
              </a:cubicBezTo>
              <a:cubicBezTo>
                <a:pt x="3175" y="609600"/>
                <a:pt x="4798" y="638390"/>
                <a:pt x="9525" y="666750"/>
              </a:cubicBezTo>
              <a:cubicBezTo>
                <a:pt x="11176" y="676654"/>
                <a:pt x="13481" y="686971"/>
                <a:pt x="19050" y="695325"/>
              </a:cubicBezTo>
              <a:cubicBezTo>
                <a:pt x="26522" y="706533"/>
                <a:pt x="39001" y="713552"/>
                <a:pt x="47625" y="723900"/>
              </a:cubicBezTo>
              <a:cubicBezTo>
                <a:pt x="54954" y="732694"/>
                <a:pt x="61555" y="742236"/>
                <a:pt x="66675" y="752475"/>
              </a:cubicBezTo>
              <a:cubicBezTo>
                <a:pt x="71165" y="761455"/>
                <a:pt x="69100" y="773950"/>
                <a:pt x="76200" y="781050"/>
              </a:cubicBezTo>
              <a:cubicBezTo>
                <a:pt x="83300" y="788150"/>
                <a:pt x="95250" y="787400"/>
                <a:pt x="104775" y="790575"/>
              </a:cubicBezTo>
              <a:cubicBezTo>
                <a:pt x="171450" y="768350"/>
                <a:pt x="155575" y="752475"/>
                <a:pt x="171450" y="800100"/>
              </a:cubicBezTo>
              <a:cubicBezTo>
                <a:pt x="168275" y="812800"/>
                <a:pt x="169187" y="827308"/>
                <a:pt x="161925" y="838200"/>
              </a:cubicBezTo>
              <a:cubicBezTo>
                <a:pt x="155575" y="847725"/>
                <a:pt x="139417" y="847542"/>
                <a:pt x="133350" y="857250"/>
              </a:cubicBezTo>
              <a:cubicBezTo>
                <a:pt x="122707" y="874278"/>
                <a:pt x="114300" y="914400"/>
                <a:pt x="114300" y="914400"/>
              </a:cubicBezTo>
              <a:cubicBezTo>
                <a:pt x="117475" y="939800"/>
                <a:pt x="115077" y="966543"/>
                <a:pt x="123825" y="990600"/>
              </a:cubicBezTo>
              <a:cubicBezTo>
                <a:pt x="129692" y="1006735"/>
                <a:pt x="167369" y="1029154"/>
                <a:pt x="180975" y="1038225"/>
              </a:cubicBezTo>
              <a:cubicBezTo>
                <a:pt x="184150" y="1047750"/>
                <a:pt x="189080" y="1056861"/>
                <a:pt x="190500" y="1066800"/>
              </a:cubicBezTo>
              <a:cubicBezTo>
                <a:pt x="192344" y="1079706"/>
                <a:pt x="191395" y="1167470"/>
                <a:pt x="209550" y="1200150"/>
              </a:cubicBezTo>
              <a:cubicBezTo>
                <a:pt x="220669" y="1220164"/>
                <a:pt x="234950" y="1238250"/>
                <a:pt x="247650" y="1257300"/>
              </a:cubicBezTo>
              <a:lnTo>
                <a:pt x="266700" y="1285875"/>
              </a:lnTo>
              <a:lnTo>
                <a:pt x="285750" y="1314450"/>
              </a:lnTo>
              <a:cubicBezTo>
                <a:pt x="296567" y="1357717"/>
                <a:pt x="298127" y="1359655"/>
                <a:pt x="304800" y="1409700"/>
              </a:cubicBezTo>
              <a:cubicBezTo>
                <a:pt x="308600" y="1438199"/>
                <a:pt x="309598" y="1467065"/>
                <a:pt x="314325" y="1495425"/>
              </a:cubicBezTo>
              <a:cubicBezTo>
                <a:pt x="315976" y="1505329"/>
                <a:pt x="316750" y="1516900"/>
                <a:pt x="323850" y="1524000"/>
              </a:cubicBezTo>
              <a:cubicBezTo>
                <a:pt x="340039" y="1540189"/>
                <a:pt x="361950" y="1549400"/>
                <a:pt x="381000" y="1562100"/>
              </a:cubicBezTo>
              <a:cubicBezTo>
                <a:pt x="417929" y="1586719"/>
                <a:pt x="398715" y="1577530"/>
                <a:pt x="438150" y="1590675"/>
              </a:cubicBezTo>
              <a:cubicBezTo>
                <a:pt x="480924" y="1633449"/>
                <a:pt x="453946" y="1614990"/>
                <a:pt x="523875" y="1638300"/>
              </a:cubicBezTo>
              <a:lnTo>
                <a:pt x="552450" y="1647825"/>
              </a:lnTo>
              <a:cubicBezTo>
                <a:pt x="581845" y="1667422"/>
                <a:pt x="585154" y="1666929"/>
                <a:pt x="609600" y="1695450"/>
              </a:cubicBezTo>
              <a:cubicBezTo>
                <a:pt x="619931" y="1707503"/>
                <a:pt x="628948" y="1720632"/>
                <a:pt x="638175" y="1733550"/>
              </a:cubicBezTo>
              <a:cubicBezTo>
                <a:pt x="644829" y="1742865"/>
                <a:pt x="649567" y="1753616"/>
                <a:pt x="657225" y="1762125"/>
              </a:cubicBezTo>
              <a:cubicBezTo>
                <a:pt x="678251" y="1785487"/>
                <a:pt x="701675" y="1806575"/>
                <a:pt x="723900" y="1828800"/>
              </a:cubicBezTo>
              <a:cubicBezTo>
                <a:pt x="744966" y="1849866"/>
                <a:pt x="758264" y="1859428"/>
                <a:pt x="771525" y="1885950"/>
              </a:cubicBezTo>
              <a:cubicBezTo>
                <a:pt x="776015" y="1894930"/>
                <a:pt x="777875" y="1905000"/>
                <a:pt x="781050" y="1914525"/>
              </a:cubicBezTo>
              <a:cubicBezTo>
                <a:pt x="784225" y="1939925"/>
                <a:pt x="771548" y="1973601"/>
                <a:pt x="790575" y="1990725"/>
              </a:cubicBezTo>
              <a:cubicBezTo>
                <a:pt x="811945" y="2009958"/>
                <a:pt x="847883" y="1995878"/>
                <a:pt x="876300" y="2000250"/>
              </a:cubicBezTo>
              <a:cubicBezTo>
                <a:pt x="889239" y="2002241"/>
                <a:pt x="901700" y="2006600"/>
                <a:pt x="914400" y="2009775"/>
              </a:cubicBezTo>
              <a:cubicBezTo>
                <a:pt x="923925" y="2016125"/>
                <a:pt x="932514" y="2024176"/>
                <a:pt x="942975" y="2028825"/>
              </a:cubicBezTo>
              <a:cubicBezTo>
                <a:pt x="996084" y="2052429"/>
                <a:pt x="1016307" y="2049898"/>
                <a:pt x="1076325" y="2057400"/>
              </a:cubicBezTo>
              <a:cubicBezTo>
                <a:pt x="1092200" y="2054225"/>
                <a:pt x="1109212" y="2054574"/>
                <a:pt x="1123950" y="2047875"/>
              </a:cubicBezTo>
              <a:cubicBezTo>
                <a:pt x="1144793" y="2038401"/>
                <a:pt x="1181100" y="2009775"/>
                <a:pt x="1181100" y="2009775"/>
              </a:cubicBezTo>
              <a:cubicBezTo>
                <a:pt x="1184275" y="2000250"/>
                <a:pt x="1191734" y="1991179"/>
                <a:pt x="1190625" y="1981200"/>
              </a:cubicBezTo>
              <a:cubicBezTo>
                <a:pt x="1188407" y="1961242"/>
                <a:pt x="1171575" y="1924050"/>
                <a:pt x="1171575" y="1924050"/>
              </a:cubicBezTo>
              <a:cubicBezTo>
                <a:pt x="1174750" y="1905000"/>
                <a:pt x="1175551" y="1885398"/>
                <a:pt x="1181100" y="1866900"/>
              </a:cubicBezTo>
              <a:cubicBezTo>
                <a:pt x="1185180" y="1853300"/>
                <a:pt x="1194557" y="1841851"/>
                <a:pt x="1200150" y="1828800"/>
              </a:cubicBezTo>
              <a:cubicBezTo>
                <a:pt x="1223811" y="1773591"/>
                <a:pt x="1192116" y="1826564"/>
                <a:pt x="1228725" y="1771650"/>
              </a:cubicBezTo>
              <a:cubicBezTo>
                <a:pt x="1225673" y="1759443"/>
                <a:pt x="1216507" y="1718640"/>
                <a:pt x="1209675" y="1704975"/>
              </a:cubicBezTo>
              <a:cubicBezTo>
                <a:pt x="1204555" y="1694736"/>
                <a:pt x="1196975" y="1685925"/>
                <a:pt x="1190625" y="1676400"/>
              </a:cubicBezTo>
              <a:cubicBezTo>
                <a:pt x="1187342" y="1650133"/>
                <a:pt x="1186258" y="1600991"/>
                <a:pt x="1171575" y="1571625"/>
              </a:cubicBezTo>
              <a:cubicBezTo>
                <a:pt x="1166455" y="1561386"/>
                <a:pt x="1157645" y="1553289"/>
                <a:pt x="1152525" y="1543050"/>
              </a:cubicBezTo>
              <a:cubicBezTo>
                <a:pt x="1137031" y="1512062"/>
                <a:pt x="1151247" y="1513197"/>
                <a:pt x="1123950" y="1485900"/>
              </a:cubicBezTo>
              <a:cubicBezTo>
                <a:pt x="1115855" y="1477805"/>
                <a:pt x="1104900" y="1473200"/>
                <a:pt x="1095375" y="1466850"/>
              </a:cubicBezTo>
              <a:cubicBezTo>
                <a:pt x="999080" y="1322407"/>
                <a:pt x="1103307" y="1470654"/>
                <a:pt x="1028700" y="1381125"/>
              </a:cubicBezTo>
              <a:cubicBezTo>
                <a:pt x="1021371" y="1372331"/>
                <a:pt x="1016979" y="1361344"/>
                <a:pt x="1009650" y="1352550"/>
              </a:cubicBezTo>
              <a:cubicBezTo>
                <a:pt x="1001026" y="1342202"/>
                <a:pt x="989699" y="1334323"/>
                <a:pt x="981075" y="1323975"/>
              </a:cubicBezTo>
              <a:cubicBezTo>
                <a:pt x="914770" y="1244409"/>
                <a:pt x="1016932" y="1350307"/>
                <a:pt x="933450" y="1266825"/>
              </a:cubicBezTo>
              <a:cubicBezTo>
                <a:pt x="916685" y="1216530"/>
                <a:pt x="929494" y="1246604"/>
                <a:pt x="885825" y="1181100"/>
              </a:cubicBezTo>
              <a:cubicBezTo>
                <a:pt x="877949" y="1169286"/>
                <a:pt x="873820" y="1155328"/>
                <a:pt x="866775" y="1143000"/>
              </a:cubicBezTo>
              <a:cubicBezTo>
                <a:pt x="861095" y="1133061"/>
                <a:pt x="852845" y="1124664"/>
                <a:pt x="847725" y="1114425"/>
              </a:cubicBezTo>
              <a:cubicBezTo>
                <a:pt x="843235" y="1105445"/>
                <a:pt x="843076" y="1094627"/>
                <a:pt x="838200" y="1085850"/>
              </a:cubicBezTo>
              <a:cubicBezTo>
                <a:pt x="827081" y="1065836"/>
                <a:pt x="812800" y="1047750"/>
                <a:pt x="800100" y="1028700"/>
              </a:cubicBezTo>
              <a:cubicBezTo>
                <a:pt x="793750" y="1019175"/>
                <a:pt x="789145" y="1008220"/>
                <a:pt x="781050" y="1000125"/>
              </a:cubicBezTo>
              <a:lnTo>
                <a:pt x="723900" y="942975"/>
              </a:lnTo>
              <a:cubicBezTo>
                <a:pt x="707711" y="926786"/>
                <a:pt x="698500" y="904875"/>
                <a:pt x="685800" y="885825"/>
              </a:cubicBezTo>
              <a:lnTo>
                <a:pt x="647700" y="828675"/>
              </a:lnTo>
              <a:cubicBezTo>
                <a:pt x="641350" y="819150"/>
                <a:pt x="628650" y="815975"/>
                <a:pt x="619125" y="809625"/>
              </a:cubicBezTo>
              <a:cubicBezTo>
                <a:pt x="615950" y="800100"/>
                <a:pt x="614476" y="789827"/>
                <a:pt x="609600" y="781050"/>
              </a:cubicBezTo>
              <a:cubicBezTo>
                <a:pt x="598481" y="761036"/>
                <a:pt x="578740" y="745620"/>
                <a:pt x="571500" y="723900"/>
              </a:cubicBezTo>
              <a:lnTo>
                <a:pt x="561975" y="695325"/>
              </a:lnTo>
              <a:cubicBezTo>
                <a:pt x="567991" y="568999"/>
                <a:pt x="561807" y="534238"/>
                <a:pt x="581025" y="438150"/>
              </a:cubicBezTo>
              <a:cubicBezTo>
                <a:pt x="583592" y="425313"/>
                <a:pt x="585393" y="412082"/>
                <a:pt x="590550" y="400050"/>
              </a:cubicBezTo>
              <a:cubicBezTo>
                <a:pt x="595059" y="389528"/>
                <a:pt x="604951" y="381936"/>
                <a:pt x="609600" y="371475"/>
              </a:cubicBezTo>
              <a:cubicBezTo>
                <a:pt x="617755" y="353125"/>
                <a:pt x="622300" y="333375"/>
                <a:pt x="628650" y="314325"/>
              </a:cubicBezTo>
              <a:lnTo>
                <a:pt x="647700" y="257175"/>
              </a:lnTo>
              <a:lnTo>
                <a:pt x="657225" y="228600"/>
              </a:lnTo>
              <a:lnTo>
                <a:pt x="666750" y="200025"/>
              </a:lnTo>
              <a:cubicBezTo>
                <a:pt x="663575" y="184150"/>
                <a:pt x="666205" y="165870"/>
                <a:pt x="657225" y="152400"/>
              </a:cubicBezTo>
              <a:cubicBezTo>
                <a:pt x="651656" y="144046"/>
                <a:pt x="638589" y="144295"/>
                <a:pt x="628650" y="142875"/>
              </a:cubicBezTo>
              <a:cubicBezTo>
                <a:pt x="593933" y="137915"/>
                <a:pt x="558800" y="136525"/>
                <a:pt x="523875" y="133350"/>
              </a:cubicBezTo>
              <a:cubicBezTo>
                <a:pt x="466294" y="118955"/>
                <a:pt x="498194" y="127965"/>
                <a:pt x="428625" y="104775"/>
              </a:cubicBezTo>
              <a:lnTo>
                <a:pt x="400050" y="95250"/>
              </a:lnTo>
              <a:lnTo>
                <a:pt x="371475" y="85725"/>
              </a:lnTo>
              <a:cubicBezTo>
                <a:pt x="361950" y="76200"/>
                <a:pt x="354675" y="63692"/>
                <a:pt x="342900" y="57150"/>
              </a:cubicBezTo>
              <a:cubicBezTo>
                <a:pt x="318933" y="43835"/>
                <a:pt x="275502" y="36533"/>
                <a:pt x="247650" y="28575"/>
              </a:cubicBezTo>
              <a:cubicBezTo>
                <a:pt x="237996" y="25817"/>
                <a:pt x="228729" y="21808"/>
                <a:pt x="219075" y="19050"/>
              </a:cubicBezTo>
              <a:cubicBezTo>
                <a:pt x="206488" y="15454"/>
                <a:pt x="193855" y="11867"/>
                <a:pt x="180975" y="9525"/>
              </a:cubicBezTo>
              <a:cubicBezTo>
                <a:pt x="126118" y="-449"/>
                <a:pt x="101600" y="1588"/>
                <a:pt x="857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533629</xdr:colOff>
      <xdr:row>89</xdr:row>
      <xdr:rowOff>82924</xdr:rowOff>
    </xdr:from>
    <xdr:to>
      <xdr:col>4</xdr:col>
      <xdr:colOff>315675</xdr:colOff>
      <xdr:row>97</xdr:row>
      <xdr:rowOff>145490</xdr:rowOff>
    </xdr:to>
    <xdr:sp macro="" textlink="">
      <xdr:nvSpPr>
        <xdr:cNvPr id="10" name="Nevada"/>
        <xdr:cNvSpPr/>
      </xdr:nvSpPr>
      <xdr:spPr>
        <a:xfrm>
          <a:off x="1257529" y="14916524"/>
          <a:ext cx="1001246" cy="1383366"/>
        </a:xfrm>
        <a:custGeom>
          <a:avLst/>
          <a:gdLst>
            <a:gd name="connsiteX0" fmla="*/ 133350 w 942975"/>
            <a:gd name="connsiteY0" fmla="*/ 0 h 1428750"/>
            <a:gd name="connsiteX1" fmla="*/ 133350 w 942975"/>
            <a:gd name="connsiteY1" fmla="*/ 0 h 1428750"/>
            <a:gd name="connsiteX2" fmla="*/ 95250 w 942975"/>
            <a:gd name="connsiteY2" fmla="*/ 104775 h 1428750"/>
            <a:gd name="connsiteX3" fmla="*/ 85725 w 942975"/>
            <a:gd name="connsiteY3" fmla="*/ 142875 h 1428750"/>
            <a:gd name="connsiteX4" fmla="*/ 57150 w 942975"/>
            <a:gd name="connsiteY4" fmla="*/ 228600 h 1428750"/>
            <a:gd name="connsiteX5" fmla="*/ 47625 w 942975"/>
            <a:gd name="connsiteY5" fmla="*/ 266700 h 1428750"/>
            <a:gd name="connsiteX6" fmla="*/ 28575 w 942975"/>
            <a:gd name="connsiteY6" fmla="*/ 295275 h 1428750"/>
            <a:gd name="connsiteX7" fmla="*/ 0 w 942975"/>
            <a:gd name="connsiteY7" fmla="*/ 352425 h 1428750"/>
            <a:gd name="connsiteX8" fmla="*/ 9525 w 942975"/>
            <a:gd name="connsiteY8" fmla="*/ 542925 h 1428750"/>
            <a:gd name="connsiteX9" fmla="*/ 19050 w 942975"/>
            <a:gd name="connsiteY9" fmla="*/ 571500 h 1428750"/>
            <a:gd name="connsiteX10" fmla="*/ 38100 w 942975"/>
            <a:gd name="connsiteY10" fmla="*/ 600075 h 1428750"/>
            <a:gd name="connsiteX11" fmla="*/ 95250 w 942975"/>
            <a:gd name="connsiteY11" fmla="*/ 647700 h 1428750"/>
            <a:gd name="connsiteX12" fmla="*/ 133350 w 942975"/>
            <a:gd name="connsiteY12" fmla="*/ 704850 h 1428750"/>
            <a:gd name="connsiteX13" fmla="*/ 171450 w 942975"/>
            <a:gd name="connsiteY13" fmla="*/ 762000 h 1428750"/>
            <a:gd name="connsiteX14" fmla="*/ 190500 w 942975"/>
            <a:gd name="connsiteY14" fmla="*/ 790575 h 1428750"/>
            <a:gd name="connsiteX15" fmla="*/ 209550 w 942975"/>
            <a:gd name="connsiteY15" fmla="*/ 819150 h 1428750"/>
            <a:gd name="connsiteX16" fmla="*/ 238125 w 942975"/>
            <a:gd name="connsiteY16" fmla="*/ 876300 h 1428750"/>
            <a:gd name="connsiteX17" fmla="*/ 266700 w 942975"/>
            <a:gd name="connsiteY17" fmla="*/ 933450 h 1428750"/>
            <a:gd name="connsiteX18" fmla="*/ 295275 w 942975"/>
            <a:gd name="connsiteY18" fmla="*/ 962025 h 1428750"/>
            <a:gd name="connsiteX19" fmla="*/ 333375 w 942975"/>
            <a:gd name="connsiteY19" fmla="*/ 1019175 h 1428750"/>
            <a:gd name="connsiteX20" fmla="*/ 352425 w 942975"/>
            <a:gd name="connsiteY20" fmla="*/ 1047750 h 1428750"/>
            <a:gd name="connsiteX21" fmla="*/ 400050 w 942975"/>
            <a:gd name="connsiteY21" fmla="*/ 1104900 h 1428750"/>
            <a:gd name="connsiteX22" fmla="*/ 409575 w 942975"/>
            <a:gd name="connsiteY22" fmla="*/ 1133475 h 1428750"/>
            <a:gd name="connsiteX23" fmla="*/ 447675 w 942975"/>
            <a:gd name="connsiteY23" fmla="*/ 1190625 h 1428750"/>
            <a:gd name="connsiteX24" fmla="*/ 466725 w 942975"/>
            <a:gd name="connsiteY24" fmla="*/ 1219200 h 1428750"/>
            <a:gd name="connsiteX25" fmla="*/ 495300 w 942975"/>
            <a:gd name="connsiteY25" fmla="*/ 1247775 h 1428750"/>
            <a:gd name="connsiteX26" fmla="*/ 533400 w 942975"/>
            <a:gd name="connsiteY26" fmla="*/ 1304925 h 1428750"/>
            <a:gd name="connsiteX27" fmla="*/ 571500 w 942975"/>
            <a:gd name="connsiteY27" fmla="*/ 1362075 h 1428750"/>
            <a:gd name="connsiteX28" fmla="*/ 619125 w 942975"/>
            <a:gd name="connsiteY28" fmla="*/ 1419225 h 1428750"/>
            <a:gd name="connsiteX29" fmla="*/ 647700 w 942975"/>
            <a:gd name="connsiteY29" fmla="*/ 1428750 h 1428750"/>
            <a:gd name="connsiteX30" fmla="*/ 657225 w 942975"/>
            <a:gd name="connsiteY30" fmla="*/ 1400175 h 1428750"/>
            <a:gd name="connsiteX31" fmla="*/ 676275 w 942975"/>
            <a:gd name="connsiteY31" fmla="*/ 1257300 h 1428750"/>
            <a:gd name="connsiteX32" fmla="*/ 695325 w 942975"/>
            <a:gd name="connsiteY32" fmla="*/ 1228725 h 1428750"/>
            <a:gd name="connsiteX33" fmla="*/ 752475 w 942975"/>
            <a:gd name="connsiteY33" fmla="*/ 1247775 h 1428750"/>
            <a:gd name="connsiteX34" fmla="*/ 790575 w 942975"/>
            <a:gd name="connsiteY34" fmla="*/ 1114425 h 1428750"/>
            <a:gd name="connsiteX35" fmla="*/ 800100 w 942975"/>
            <a:gd name="connsiteY35" fmla="*/ 1066800 h 1428750"/>
            <a:gd name="connsiteX36" fmla="*/ 809625 w 942975"/>
            <a:gd name="connsiteY36" fmla="*/ 971550 h 1428750"/>
            <a:gd name="connsiteX37" fmla="*/ 819150 w 942975"/>
            <a:gd name="connsiteY37" fmla="*/ 914400 h 1428750"/>
            <a:gd name="connsiteX38" fmla="*/ 828675 w 942975"/>
            <a:gd name="connsiteY38" fmla="*/ 847725 h 1428750"/>
            <a:gd name="connsiteX39" fmla="*/ 838200 w 942975"/>
            <a:gd name="connsiteY39" fmla="*/ 809625 h 1428750"/>
            <a:gd name="connsiteX40" fmla="*/ 857250 w 942975"/>
            <a:gd name="connsiteY40" fmla="*/ 695325 h 1428750"/>
            <a:gd name="connsiteX41" fmla="*/ 866775 w 942975"/>
            <a:gd name="connsiteY41" fmla="*/ 666750 h 1428750"/>
            <a:gd name="connsiteX42" fmla="*/ 885825 w 942975"/>
            <a:gd name="connsiteY42" fmla="*/ 571500 h 1428750"/>
            <a:gd name="connsiteX43" fmla="*/ 904875 w 942975"/>
            <a:gd name="connsiteY43" fmla="*/ 495300 h 1428750"/>
            <a:gd name="connsiteX44" fmla="*/ 923925 w 942975"/>
            <a:gd name="connsiteY44" fmla="*/ 342900 h 1428750"/>
            <a:gd name="connsiteX45" fmla="*/ 942975 w 942975"/>
            <a:gd name="connsiteY45" fmla="*/ 190500 h 1428750"/>
            <a:gd name="connsiteX46" fmla="*/ 885825 w 942975"/>
            <a:gd name="connsiteY46" fmla="*/ 171450 h 1428750"/>
            <a:gd name="connsiteX47" fmla="*/ 857250 w 942975"/>
            <a:gd name="connsiteY47" fmla="*/ 161925 h 1428750"/>
            <a:gd name="connsiteX48" fmla="*/ 828675 w 942975"/>
            <a:gd name="connsiteY48" fmla="*/ 142875 h 1428750"/>
            <a:gd name="connsiteX49" fmla="*/ 638175 w 942975"/>
            <a:gd name="connsiteY49" fmla="*/ 123825 h 1428750"/>
            <a:gd name="connsiteX50" fmla="*/ 533400 w 942975"/>
            <a:gd name="connsiteY50" fmla="*/ 95250 h 1428750"/>
            <a:gd name="connsiteX51" fmla="*/ 476250 w 942975"/>
            <a:gd name="connsiteY51" fmla="*/ 76200 h 1428750"/>
            <a:gd name="connsiteX52" fmla="*/ 428625 w 942975"/>
            <a:gd name="connsiteY52" fmla="*/ 66675 h 1428750"/>
            <a:gd name="connsiteX53" fmla="*/ 371475 w 942975"/>
            <a:gd name="connsiteY53" fmla="*/ 47625 h 1428750"/>
            <a:gd name="connsiteX54" fmla="*/ 342900 w 942975"/>
            <a:gd name="connsiteY54" fmla="*/ 38100 h 1428750"/>
            <a:gd name="connsiteX55" fmla="*/ 314325 w 942975"/>
            <a:gd name="connsiteY55" fmla="*/ 28575 h 1428750"/>
            <a:gd name="connsiteX56" fmla="*/ 200025 w 942975"/>
            <a:gd name="connsiteY56" fmla="*/ 9525 h 1428750"/>
            <a:gd name="connsiteX57" fmla="*/ 133350 w 942975"/>
            <a:gd name="connsiteY57" fmla="*/ 0 h 1428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942975" h="1428750">
              <a:moveTo>
                <a:pt x="133350" y="0"/>
              </a:moveTo>
              <a:lnTo>
                <a:pt x="133350" y="0"/>
              </a:lnTo>
              <a:cubicBezTo>
                <a:pt x="130597" y="7341"/>
                <a:pt x="102491" y="79430"/>
                <a:pt x="95250" y="104775"/>
              </a:cubicBezTo>
              <a:cubicBezTo>
                <a:pt x="91654" y="117362"/>
                <a:pt x="89487" y="130336"/>
                <a:pt x="85725" y="142875"/>
              </a:cubicBezTo>
              <a:lnTo>
                <a:pt x="57150" y="228600"/>
              </a:lnTo>
              <a:cubicBezTo>
                <a:pt x="53010" y="241019"/>
                <a:pt x="52782" y="254668"/>
                <a:pt x="47625" y="266700"/>
              </a:cubicBezTo>
              <a:cubicBezTo>
                <a:pt x="43116" y="277222"/>
                <a:pt x="33695" y="285036"/>
                <a:pt x="28575" y="295275"/>
              </a:cubicBezTo>
              <a:cubicBezTo>
                <a:pt x="-10860" y="374145"/>
                <a:pt x="54595" y="270533"/>
                <a:pt x="0" y="352425"/>
              </a:cubicBezTo>
              <a:cubicBezTo>
                <a:pt x="3175" y="415925"/>
                <a:pt x="4017" y="479585"/>
                <a:pt x="9525" y="542925"/>
              </a:cubicBezTo>
              <a:cubicBezTo>
                <a:pt x="10395" y="552927"/>
                <a:pt x="14560" y="562520"/>
                <a:pt x="19050" y="571500"/>
              </a:cubicBezTo>
              <a:cubicBezTo>
                <a:pt x="24170" y="581739"/>
                <a:pt x="30005" y="591980"/>
                <a:pt x="38100" y="600075"/>
              </a:cubicBezTo>
              <a:cubicBezTo>
                <a:pt x="93133" y="655108"/>
                <a:pt x="40635" y="577481"/>
                <a:pt x="95250" y="647700"/>
              </a:cubicBezTo>
              <a:cubicBezTo>
                <a:pt x="109306" y="665772"/>
                <a:pt x="120650" y="685800"/>
                <a:pt x="133350" y="704850"/>
              </a:cubicBezTo>
              <a:lnTo>
                <a:pt x="171450" y="762000"/>
              </a:lnTo>
              <a:lnTo>
                <a:pt x="190500" y="790575"/>
              </a:lnTo>
              <a:cubicBezTo>
                <a:pt x="196850" y="800100"/>
                <a:pt x="205930" y="808290"/>
                <a:pt x="209550" y="819150"/>
              </a:cubicBezTo>
              <a:cubicBezTo>
                <a:pt x="233491" y="890974"/>
                <a:pt x="201196" y="802442"/>
                <a:pt x="238125" y="876300"/>
              </a:cubicBezTo>
              <a:cubicBezTo>
                <a:pt x="259604" y="919258"/>
                <a:pt x="232578" y="892504"/>
                <a:pt x="266700" y="933450"/>
              </a:cubicBezTo>
              <a:cubicBezTo>
                <a:pt x="275324" y="943798"/>
                <a:pt x="287005" y="951392"/>
                <a:pt x="295275" y="962025"/>
              </a:cubicBezTo>
              <a:cubicBezTo>
                <a:pt x="309331" y="980097"/>
                <a:pt x="320675" y="1000125"/>
                <a:pt x="333375" y="1019175"/>
              </a:cubicBezTo>
              <a:cubicBezTo>
                <a:pt x="339725" y="1028700"/>
                <a:pt x="344330" y="1039655"/>
                <a:pt x="352425" y="1047750"/>
              </a:cubicBezTo>
              <a:cubicBezTo>
                <a:pt x="373491" y="1068816"/>
                <a:pt x="386789" y="1078378"/>
                <a:pt x="400050" y="1104900"/>
              </a:cubicBezTo>
              <a:cubicBezTo>
                <a:pt x="404540" y="1113880"/>
                <a:pt x="404699" y="1124698"/>
                <a:pt x="409575" y="1133475"/>
              </a:cubicBezTo>
              <a:cubicBezTo>
                <a:pt x="420694" y="1153489"/>
                <a:pt x="434975" y="1171575"/>
                <a:pt x="447675" y="1190625"/>
              </a:cubicBezTo>
              <a:cubicBezTo>
                <a:pt x="454025" y="1200150"/>
                <a:pt x="458630" y="1211105"/>
                <a:pt x="466725" y="1219200"/>
              </a:cubicBezTo>
              <a:cubicBezTo>
                <a:pt x="476250" y="1228725"/>
                <a:pt x="487030" y="1237142"/>
                <a:pt x="495300" y="1247775"/>
              </a:cubicBezTo>
              <a:cubicBezTo>
                <a:pt x="509356" y="1265847"/>
                <a:pt x="520700" y="1285875"/>
                <a:pt x="533400" y="1304925"/>
              </a:cubicBezTo>
              <a:lnTo>
                <a:pt x="571500" y="1362075"/>
              </a:lnTo>
              <a:cubicBezTo>
                <a:pt x="585557" y="1383160"/>
                <a:pt x="597123" y="1404557"/>
                <a:pt x="619125" y="1419225"/>
              </a:cubicBezTo>
              <a:cubicBezTo>
                <a:pt x="627479" y="1424794"/>
                <a:pt x="638175" y="1425575"/>
                <a:pt x="647700" y="1428750"/>
              </a:cubicBezTo>
              <a:cubicBezTo>
                <a:pt x="650875" y="1419225"/>
                <a:pt x="655805" y="1410114"/>
                <a:pt x="657225" y="1400175"/>
              </a:cubicBezTo>
              <a:cubicBezTo>
                <a:pt x="659865" y="1381697"/>
                <a:pt x="661257" y="1292342"/>
                <a:pt x="676275" y="1257300"/>
              </a:cubicBezTo>
              <a:cubicBezTo>
                <a:pt x="680784" y="1246778"/>
                <a:pt x="688975" y="1238250"/>
                <a:pt x="695325" y="1228725"/>
              </a:cubicBezTo>
              <a:cubicBezTo>
                <a:pt x="714375" y="1235075"/>
                <a:pt x="746125" y="1266825"/>
                <a:pt x="752475" y="1247775"/>
              </a:cubicBezTo>
              <a:cubicBezTo>
                <a:pt x="770631" y="1193306"/>
                <a:pt x="778615" y="1174226"/>
                <a:pt x="790575" y="1114425"/>
              </a:cubicBezTo>
              <a:cubicBezTo>
                <a:pt x="793750" y="1098550"/>
                <a:pt x="797960" y="1082847"/>
                <a:pt x="800100" y="1066800"/>
              </a:cubicBezTo>
              <a:cubicBezTo>
                <a:pt x="804317" y="1035172"/>
                <a:pt x="805667" y="1003212"/>
                <a:pt x="809625" y="971550"/>
              </a:cubicBezTo>
              <a:cubicBezTo>
                <a:pt x="812020" y="952386"/>
                <a:pt x="816213" y="933488"/>
                <a:pt x="819150" y="914400"/>
              </a:cubicBezTo>
              <a:cubicBezTo>
                <a:pt x="822564" y="892210"/>
                <a:pt x="824659" y="869814"/>
                <a:pt x="828675" y="847725"/>
              </a:cubicBezTo>
              <a:cubicBezTo>
                <a:pt x="831017" y="834845"/>
                <a:pt x="836048" y="822538"/>
                <a:pt x="838200" y="809625"/>
              </a:cubicBezTo>
              <a:cubicBezTo>
                <a:pt x="852115" y="726137"/>
                <a:pt x="840102" y="755343"/>
                <a:pt x="857250" y="695325"/>
              </a:cubicBezTo>
              <a:cubicBezTo>
                <a:pt x="860008" y="685671"/>
                <a:pt x="864517" y="676533"/>
                <a:pt x="866775" y="666750"/>
              </a:cubicBezTo>
              <a:cubicBezTo>
                <a:pt x="874056" y="635200"/>
                <a:pt x="879475" y="603250"/>
                <a:pt x="885825" y="571500"/>
              </a:cubicBezTo>
              <a:cubicBezTo>
                <a:pt x="890960" y="545827"/>
                <a:pt x="904875" y="495300"/>
                <a:pt x="904875" y="495300"/>
              </a:cubicBezTo>
              <a:cubicBezTo>
                <a:pt x="934284" y="230617"/>
                <a:pt x="896743" y="560356"/>
                <a:pt x="923925" y="342900"/>
              </a:cubicBezTo>
              <a:cubicBezTo>
                <a:pt x="947934" y="150832"/>
                <a:pt x="920010" y="351253"/>
                <a:pt x="942975" y="190500"/>
              </a:cubicBezTo>
              <a:lnTo>
                <a:pt x="885825" y="171450"/>
              </a:lnTo>
              <a:lnTo>
                <a:pt x="857250" y="161925"/>
              </a:lnTo>
              <a:cubicBezTo>
                <a:pt x="847725" y="155575"/>
                <a:pt x="839996" y="144573"/>
                <a:pt x="828675" y="142875"/>
              </a:cubicBezTo>
              <a:cubicBezTo>
                <a:pt x="571213" y="104256"/>
                <a:pt x="733923" y="155741"/>
                <a:pt x="638175" y="123825"/>
              </a:cubicBezTo>
              <a:cubicBezTo>
                <a:pt x="580573" y="85424"/>
                <a:pt x="638241" y="117716"/>
                <a:pt x="533400" y="95250"/>
              </a:cubicBezTo>
              <a:cubicBezTo>
                <a:pt x="513765" y="91043"/>
                <a:pt x="495300" y="82550"/>
                <a:pt x="476250" y="76200"/>
              </a:cubicBezTo>
              <a:cubicBezTo>
                <a:pt x="460891" y="71080"/>
                <a:pt x="444244" y="70935"/>
                <a:pt x="428625" y="66675"/>
              </a:cubicBezTo>
              <a:cubicBezTo>
                <a:pt x="409252" y="61391"/>
                <a:pt x="390525" y="53975"/>
                <a:pt x="371475" y="47625"/>
              </a:cubicBezTo>
              <a:lnTo>
                <a:pt x="342900" y="38100"/>
              </a:lnTo>
              <a:cubicBezTo>
                <a:pt x="333375" y="34925"/>
                <a:pt x="324170" y="30544"/>
                <a:pt x="314325" y="28575"/>
              </a:cubicBezTo>
              <a:cubicBezTo>
                <a:pt x="276634" y="21037"/>
                <a:pt x="238422" y="12479"/>
                <a:pt x="200025" y="9525"/>
              </a:cubicBezTo>
              <a:cubicBezTo>
                <a:pt x="181031" y="8064"/>
                <a:pt x="144462" y="1587"/>
                <a:pt x="13335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471997</xdr:colOff>
      <xdr:row>82</xdr:row>
      <xdr:rowOff>83297</xdr:rowOff>
    </xdr:from>
    <xdr:to>
      <xdr:col>5</xdr:col>
      <xdr:colOff>149268</xdr:colOff>
      <xdr:row>90</xdr:row>
      <xdr:rowOff>151098</xdr:rowOff>
    </xdr:to>
    <xdr:sp macro="" textlink="">
      <xdr:nvSpPr>
        <xdr:cNvPr id="11" name="Idaho"/>
        <xdr:cNvSpPr/>
      </xdr:nvSpPr>
      <xdr:spPr>
        <a:xfrm>
          <a:off x="1805497" y="13761197"/>
          <a:ext cx="896471" cy="1388601"/>
        </a:xfrm>
        <a:custGeom>
          <a:avLst/>
          <a:gdLst>
            <a:gd name="connsiteX0" fmla="*/ 295275 w 876300"/>
            <a:gd name="connsiteY0" fmla="*/ 0 h 1428942"/>
            <a:gd name="connsiteX1" fmla="*/ 295275 w 876300"/>
            <a:gd name="connsiteY1" fmla="*/ 0 h 1428942"/>
            <a:gd name="connsiteX2" fmla="*/ 257175 w 876300"/>
            <a:gd name="connsiteY2" fmla="*/ 76200 h 1428942"/>
            <a:gd name="connsiteX3" fmla="*/ 228600 w 876300"/>
            <a:gd name="connsiteY3" fmla="*/ 133350 h 1428942"/>
            <a:gd name="connsiteX4" fmla="*/ 219075 w 876300"/>
            <a:gd name="connsiteY4" fmla="*/ 257175 h 1428942"/>
            <a:gd name="connsiteX5" fmla="*/ 209550 w 876300"/>
            <a:gd name="connsiteY5" fmla="*/ 285750 h 1428942"/>
            <a:gd name="connsiteX6" fmla="*/ 200025 w 876300"/>
            <a:gd name="connsiteY6" fmla="*/ 333375 h 1428942"/>
            <a:gd name="connsiteX7" fmla="*/ 180975 w 876300"/>
            <a:gd name="connsiteY7" fmla="*/ 361950 h 1428942"/>
            <a:gd name="connsiteX8" fmla="*/ 171450 w 876300"/>
            <a:gd name="connsiteY8" fmla="*/ 447675 h 1428942"/>
            <a:gd name="connsiteX9" fmla="*/ 171450 w 876300"/>
            <a:gd name="connsiteY9" fmla="*/ 666750 h 1428942"/>
            <a:gd name="connsiteX10" fmla="*/ 133350 w 876300"/>
            <a:gd name="connsiteY10" fmla="*/ 723900 h 1428942"/>
            <a:gd name="connsiteX11" fmla="*/ 85725 w 876300"/>
            <a:gd name="connsiteY11" fmla="*/ 781050 h 1428942"/>
            <a:gd name="connsiteX12" fmla="*/ 76200 w 876300"/>
            <a:gd name="connsiteY12" fmla="*/ 876300 h 1428942"/>
            <a:gd name="connsiteX13" fmla="*/ 95250 w 876300"/>
            <a:gd name="connsiteY13" fmla="*/ 933450 h 1428942"/>
            <a:gd name="connsiteX14" fmla="*/ 85725 w 876300"/>
            <a:gd name="connsiteY14" fmla="*/ 981075 h 1428942"/>
            <a:gd name="connsiteX15" fmla="*/ 76200 w 876300"/>
            <a:gd name="connsiteY15" fmla="*/ 1009650 h 1428942"/>
            <a:gd name="connsiteX16" fmla="*/ 47625 w 876300"/>
            <a:gd name="connsiteY16" fmla="*/ 1114425 h 1428942"/>
            <a:gd name="connsiteX17" fmla="*/ 28575 w 876300"/>
            <a:gd name="connsiteY17" fmla="*/ 1152525 h 1428942"/>
            <a:gd name="connsiteX18" fmla="*/ 0 w 876300"/>
            <a:gd name="connsiteY18" fmla="*/ 1257300 h 1428942"/>
            <a:gd name="connsiteX19" fmla="*/ 19050 w 876300"/>
            <a:gd name="connsiteY19" fmla="*/ 1285875 h 1428942"/>
            <a:gd name="connsiteX20" fmla="*/ 76200 w 876300"/>
            <a:gd name="connsiteY20" fmla="*/ 1323975 h 1428942"/>
            <a:gd name="connsiteX21" fmla="*/ 190500 w 876300"/>
            <a:gd name="connsiteY21" fmla="*/ 1343025 h 1428942"/>
            <a:gd name="connsiteX22" fmla="*/ 400050 w 876300"/>
            <a:gd name="connsiteY22" fmla="*/ 1362075 h 1428942"/>
            <a:gd name="connsiteX23" fmla="*/ 457200 w 876300"/>
            <a:gd name="connsiteY23" fmla="*/ 1381125 h 1428942"/>
            <a:gd name="connsiteX24" fmla="*/ 485775 w 876300"/>
            <a:gd name="connsiteY24" fmla="*/ 1400175 h 1428942"/>
            <a:gd name="connsiteX25" fmla="*/ 600075 w 876300"/>
            <a:gd name="connsiteY25" fmla="*/ 1419225 h 1428942"/>
            <a:gd name="connsiteX26" fmla="*/ 628650 w 876300"/>
            <a:gd name="connsiteY26" fmla="*/ 1428750 h 1428942"/>
            <a:gd name="connsiteX27" fmla="*/ 819150 w 876300"/>
            <a:gd name="connsiteY27" fmla="*/ 1419225 h 1428942"/>
            <a:gd name="connsiteX28" fmla="*/ 828675 w 876300"/>
            <a:gd name="connsiteY28" fmla="*/ 1390650 h 1428942"/>
            <a:gd name="connsiteX29" fmla="*/ 847725 w 876300"/>
            <a:gd name="connsiteY29" fmla="*/ 1247775 h 1428942"/>
            <a:gd name="connsiteX30" fmla="*/ 857250 w 876300"/>
            <a:gd name="connsiteY30" fmla="*/ 1219200 h 1428942"/>
            <a:gd name="connsiteX31" fmla="*/ 876300 w 876300"/>
            <a:gd name="connsiteY31" fmla="*/ 1066800 h 1428942"/>
            <a:gd name="connsiteX32" fmla="*/ 866775 w 876300"/>
            <a:gd name="connsiteY32" fmla="*/ 933450 h 1428942"/>
            <a:gd name="connsiteX33" fmla="*/ 771525 w 876300"/>
            <a:gd name="connsiteY33" fmla="*/ 942975 h 1428942"/>
            <a:gd name="connsiteX34" fmla="*/ 600075 w 876300"/>
            <a:gd name="connsiteY34" fmla="*/ 923925 h 1428942"/>
            <a:gd name="connsiteX35" fmla="*/ 571500 w 876300"/>
            <a:gd name="connsiteY35" fmla="*/ 904875 h 1428942"/>
            <a:gd name="connsiteX36" fmla="*/ 561975 w 876300"/>
            <a:gd name="connsiteY36" fmla="*/ 866775 h 1428942"/>
            <a:gd name="connsiteX37" fmla="*/ 552450 w 876300"/>
            <a:gd name="connsiteY37" fmla="*/ 838200 h 1428942"/>
            <a:gd name="connsiteX38" fmla="*/ 533400 w 876300"/>
            <a:gd name="connsiteY38" fmla="*/ 723900 h 1428942"/>
            <a:gd name="connsiteX39" fmla="*/ 523875 w 876300"/>
            <a:gd name="connsiteY39" fmla="*/ 695325 h 1428942"/>
            <a:gd name="connsiteX40" fmla="*/ 495300 w 876300"/>
            <a:gd name="connsiteY40" fmla="*/ 685800 h 1428942"/>
            <a:gd name="connsiteX41" fmla="*/ 476250 w 876300"/>
            <a:gd name="connsiteY41" fmla="*/ 657225 h 1428942"/>
            <a:gd name="connsiteX42" fmla="*/ 495300 w 876300"/>
            <a:gd name="connsiteY42" fmla="*/ 485775 h 1428942"/>
            <a:gd name="connsiteX43" fmla="*/ 476250 w 876300"/>
            <a:gd name="connsiteY43" fmla="*/ 419100 h 1428942"/>
            <a:gd name="connsiteX44" fmla="*/ 457200 w 876300"/>
            <a:gd name="connsiteY44" fmla="*/ 390525 h 1428942"/>
            <a:gd name="connsiteX45" fmla="*/ 447675 w 876300"/>
            <a:gd name="connsiteY45" fmla="*/ 361950 h 1428942"/>
            <a:gd name="connsiteX46" fmla="*/ 400050 w 876300"/>
            <a:gd name="connsiteY46" fmla="*/ 304800 h 1428942"/>
            <a:gd name="connsiteX47" fmla="*/ 390525 w 876300"/>
            <a:gd name="connsiteY47" fmla="*/ 276225 h 1428942"/>
            <a:gd name="connsiteX48" fmla="*/ 371475 w 876300"/>
            <a:gd name="connsiteY48" fmla="*/ 247650 h 1428942"/>
            <a:gd name="connsiteX49" fmla="*/ 352425 w 876300"/>
            <a:gd name="connsiteY49" fmla="*/ 190500 h 1428942"/>
            <a:gd name="connsiteX50" fmla="*/ 361950 w 876300"/>
            <a:gd name="connsiteY50" fmla="*/ 114300 h 1428942"/>
            <a:gd name="connsiteX51" fmla="*/ 381000 w 876300"/>
            <a:gd name="connsiteY51" fmla="*/ 47625 h 1428942"/>
            <a:gd name="connsiteX52" fmla="*/ 371475 w 876300"/>
            <a:gd name="connsiteY52" fmla="*/ 19050 h 1428942"/>
            <a:gd name="connsiteX53" fmla="*/ 295275 w 876300"/>
            <a:gd name="connsiteY53" fmla="*/ 0 h 14289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Lst>
          <a:rect l="l" t="t" r="r" b="b"/>
          <a:pathLst>
            <a:path w="876300" h="1428942">
              <a:moveTo>
                <a:pt x="295275" y="0"/>
              </a:moveTo>
              <a:lnTo>
                <a:pt x="295275" y="0"/>
              </a:lnTo>
              <a:cubicBezTo>
                <a:pt x="282575" y="25400"/>
                <a:pt x="270773" y="51269"/>
                <a:pt x="257175" y="76200"/>
              </a:cubicBezTo>
              <a:cubicBezTo>
                <a:pt x="225522" y="134231"/>
                <a:pt x="247914" y="75407"/>
                <a:pt x="228600" y="133350"/>
              </a:cubicBezTo>
              <a:cubicBezTo>
                <a:pt x="225425" y="174625"/>
                <a:pt x="224210" y="216098"/>
                <a:pt x="219075" y="257175"/>
              </a:cubicBezTo>
              <a:cubicBezTo>
                <a:pt x="217830" y="267138"/>
                <a:pt x="211985" y="276010"/>
                <a:pt x="209550" y="285750"/>
              </a:cubicBezTo>
              <a:cubicBezTo>
                <a:pt x="205623" y="301456"/>
                <a:pt x="205709" y="318216"/>
                <a:pt x="200025" y="333375"/>
              </a:cubicBezTo>
              <a:cubicBezTo>
                <a:pt x="196005" y="344094"/>
                <a:pt x="187325" y="352425"/>
                <a:pt x="180975" y="361950"/>
              </a:cubicBezTo>
              <a:cubicBezTo>
                <a:pt x="177800" y="390525"/>
                <a:pt x="171450" y="418924"/>
                <a:pt x="171450" y="447675"/>
              </a:cubicBezTo>
              <a:cubicBezTo>
                <a:pt x="171450" y="497768"/>
                <a:pt x="192917" y="606643"/>
                <a:pt x="171450" y="666750"/>
              </a:cubicBezTo>
              <a:cubicBezTo>
                <a:pt x="163749" y="688311"/>
                <a:pt x="146050" y="704850"/>
                <a:pt x="133350" y="723900"/>
              </a:cubicBezTo>
              <a:cubicBezTo>
                <a:pt x="106828" y="763683"/>
                <a:pt x="122395" y="744380"/>
                <a:pt x="85725" y="781050"/>
              </a:cubicBezTo>
              <a:cubicBezTo>
                <a:pt x="64860" y="843646"/>
                <a:pt x="60289" y="823265"/>
                <a:pt x="76200" y="876300"/>
              </a:cubicBezTo>
              <a:cubicBezTo>
                <a:pt x="81970" y="895534"/>
                <a:pt x="95250" y="933450"/>
                <a:pt x="95250" y="933450"/>
              </a:cubicBezTo>
              <a:cubicBezTo>
                <a:pt x="92075" y="949325"/>
                <a:pt x="89652" y="965369"/>
                <a:pt x="85725" y="981075"/>
              </a:cubicBezTo>
              <a:cubicBezTo>
                <a:pt x="83290" y="990815"/>
                <a:pt x="78635" y="999910"/>
                <a:pt x="76200" y="1009650"/>
              </a:cubicBezTo>
              <a:cubicBezTo>
                <a:pt x="65748" y="1051456"/>
                <a:pt x="68059" y="1073557"/>
                <a:pt x="47625" y="1114425"/>
              </a:cubicBezTo>
              <a:cubicBezTo>
                <a:pt x="41275" y="1127125"/>
                <a:pt x="33848" y="1139342"/>
                <a:pt x="28575" y="1152525"/>
              </a:cubicBezTo>
              <a:cubicBezTo>
                <a:pt x="9239" y="1200864"/>
                <a:pt x="9566" y="1209471"/>
                <a:pt x="0" y="1257300"/>
              </a:cubicBezTo>
              <a:cubicBezTo>
                <a:pt x="6350" y="1266825"/>
                <a:pt x="10435" y="1278337"/>
                <a:pt x="19050" y="1285875"/>
              </a:cubicBezTo>
              <a:cubicBezTo>
                <a:pt x="36280" y="1300952"/>
                <a:pt x="53749" y="1319485"/>
                <a:pt x="76200" y="1323975"/>
              </a:cubicBezTo>
              <a:cubicBezTo>
                <a:pt x="127583" y="1334252"/>
                <a:pt x="133115" y="1336274"/>
                <a:pt x="190500" y="1343025"/>
              </a:cubicBezTo>
              <a:cubicBezTo>
                <a:pt x="255242" y="1350642"/>
                <a:pt x="336088" y="1356745"/>
                <a:pt x="400050" y="1362075"/>
              </a:cubicBezTo>
              <a:cubicBezTo>
                <a:pt x="419100" y="1368425"/>
                <a:pt x="440492" y="1369986"/>
                <a:pt x="457200" y="1381125"/>
              </a:cubicBezTo>
              <a:cubicBezTo>
                <a:pt x="466725" y="1387475"/>
                <a:pt x="474714" y="1397225"/>
                <a:pt x="485775" y="1400175"/>
              </a:cubicBezTo>
              <a:cubicBezTo>
                <a:pt x="523096" y="1410127"/>
                <a:pt x="600075" y="1419225"/>
                <a:pt x="600075" y="1419225"/>
              </a:cubicBezTo>
              <a:cubicBezTo>
                <a:pt x="609600" y="1422400"/>
                <a:pt x="618610" y="1428750"/>
                <a:pt x="628650" y="1428750"/>
              </a:cubicBezTo>
              <a:cubicBezTo>
                <a:pt x="692229" y="1428750"/>
                <a:pt x="756694" y="1431121"/>
                <a:pt x="819150" y="1419225"/>
              </a:cubicBezTo>
              <a:cubicBezTo>
                <a:pt x="829013" y="1417346"/>
                <a:pt x="826497" y="1400451"/>
                <a:pt x="828675" y="1390650"/>
              </a:cubicBezTo>
              <a:cubicBezTo>
                <a:pt x="844337" y="1320172"/>
                <a:pt x="833968" y="1330316"/>
                <a:pt x="847725" y="1247775"/>
              </a:cubicBezTo>
              <a:cubicBezTo>
                <a:pt x="849376" y="1237871"/>
                <a:pt x="854075" y="1228725"/>
                <a:pt x="857250" y="1219200"/>
              </a:cubicBezTo>
              <a:cubicBezTo>
                <a:pt x="861467" y="1189679"/>
                <a:pt x="876300" y="1090809"/>
                <a:pt x="876300" y="1066800"/>
              </a:cubicBezTo>
              <a:cubicBezTo>
                <a:pt x="876300" y="1022237"/>
                <a:pt x="869950" y="977900"/>
                <a:pt x="866775" y="933450"/>
              </a:cubicBezTo>
              <a:cubicBezTo>
                <a:pt x="835025" y="936625"/>
                <a:pt x="803433" y="942975"/>
                <a:pt x="771525" y="942975"/>
              </a:cubicBezTo>
              <a:cubicBezTo>
                <a:pt x="704752" y="942975"/>
                <a:pt x="661207" y="934114"/>
                <a:pt x="600075" y="923925"/>
              </a:cubicBezTo>
              <a:cubicBezTo>
                <a:pt x="590550" y="917575"/>
                <a:pt x="577850" y="914400"/>
                <a:pt x="571500" y="904875"/>
              </a:cubicBezTo>
              <a:cubicBezTo>
                <a:pt x="564238" y="893983"/>
                <a:pt x="565571" y="879362"/>
                <a:pt x="561975" y="866775"/>
              </a:cubicBezTo>
              <a:cubicBezTo>
                <a:pt x="559217" y="857121"/>
                <a:pt x="555625" y="847725"/>
                <a:pt x="552450" y="838200"/>
              </a:cubicBezTo>
              <a:cubicBezTo>
                <a:pt x="547074" y="800566"/>
                <a:pt x="542685" y="761041"/>
                <a:pt x="533400" y="723900"/>
              </a:cubicBezTo>
              <a:cubicBezTo>
                <a:pt x="530965" y="714160"/>
                <a:pt x="530975" y="702425"/>
                <a:pt x="523875" y="695325"/>
              </a:cubicBezTo>
              <a:cubicBezTo>
                <a:pt x="516775" y="688225"/>
                <a:pt x="504825" y="688975"/>
                <a:pt x="495300" y="685800"/>
              </a:cubicBezTo>
              <a:cubicBezTo>
                <a:pt x="488950" y="676275"/>
                <a:pt x="476885" y="668655"/>
                <a:pt x="476250" y="657225"/>
              </a:cubicBezTo>
              <a:cubicBezTo>
                <a:pt x="470426" y="552384"/>
                <a:pt x="474050" y="549524"/>
                <a:pt x="495300" y="485775"/>
              </a:cubicBezTo>
              <a:cubicBezTo>
                <a:pt x="492248" y="473568"/>
                <a:pt x="483082" y="432765"/>
                <a:pt x="476250" y="419100"/>
              </a:cubicBezTo>
              <a:cubicBezTo>
                <a:pt x="471130" y="408861"/>
                <a:pt x="462320" y="400764"/>
                <a:pt x="457200" y="390525"/>
              </a:cubicBezTo>
              <a:cubicBezTo>
                <a:pt x="452710" y="381545"/>
                <a:pt x="453244" y="370304"/>
                <a:pt x="447675" y="361950"/>
              </a:cubicBezTo>
              <a:cubicBezTo>
                <a:pt x="405544" y="298753"/>
                <a:pt x="431213" y="367126"/>
                <a:pt x="400050" y="304800"/>
              </a:cubicBezTo>
              <a:cubicBezTo>
                <a:pt x="395560" y="295820"/>
                <a:pt x="395015" y="285205"/>
                <a:pt x="390525" y="276225"/>
              </a:cubicBezTo>
              <a:cubicBezTo>
                <a:pt x="385405" y="265986"/>
                <a:pt x="376124" y="258111"/>
                <a:pt x="371475" y="247650"/>
              </a:cubicBezTo>
              <a:cubicBezTo>
                <a:pt x="363320" y="229300"/>
                <a:pt x="352425" y="190500"/>
                <a:pt x="352425" y="190500"/>
              </a:cubicBezTo>
              <a:cubicBezTo>
                <a:pt x="355600" y="165100"/>
                <a:pt x="357742" y="139549"/>
                <a:pt x="361950" y="114300"/>
              </a:cubicBezTo>
              <a:cubicBezTo>
                <a:pt x="365937" y="90380"/>
                <a:pt x="373451" y="70273"/>
                <a:pt x="381000" y="47625"/>
              </a:cubicBezTo>
              <a:cubicBezTo>
                <a:pt x="377825" y="38100"/>
                <a:pt x="379645" y="24886"/>
                <a:pt x="371475" y="19050"/>
              </a:cubicBezTo>
              <a:cubicBezTo>
                <a:pt x="341994" y="-2008"/>
                <a:pt x="307975" y="3175"/>
                <a:pt x="29527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237794</xdr:colOff>
      <xdr:row>82</xdr:row>
      <xdr:rowOff>111872</xdr:rowOff>
    </xdr:from>
    <xdr:to>
      <xdr:col>6</xdr:col>
      <xdr:colOff>448660</xdr:colOff>
      <xdr:row>88</xdr:row>
      <xdr:rowOff>43516</xdr:rowOff>
    </xdr:to>
    <xdr:sp macro="" textlink="">
      <xdr:nvSpPr>
        <xdr:cNvPr id="12" name="Montana"/>
        <xdr:cNvSpPr/>
      </xdr:nvSpPr>
      <xdr:spPr>
        <a:xfrm>
          <a:off x="2180894" y="13789772"/>
          <a:ext cx="1430066" cy="922244"/>
        </a:xfrm>
        <a:custGeom>
          <a:avLst/>
          <a:gdLst>
            <a:gd name="connsiteX0" fmla="*/ 28575 w 1496181"/>
            <a:gd name="connsiteY0" fmla="*/ 0 h 952500"/>
            <a:gd name="connsiteX1" fmla="*/ 28575 w 1496181"/>
            <a:gd name="connsiteY1" fmla="*/ 0 h 952500"/>
            <a:gd name="connsiteX2" fmla="*/ 9525 w 1496181"/>
            <a:gd name="connsiteY2" fmla="*/ 85725 h 952500"/>
            <a:gd name="connsiteX3" fmla="*/ 0 w 1496181"/>
            <a:gd name="connsiteY3" fmla="*/ 114300 h 952500"/>
            <a:gd name="connsiteX4" fmla="*/ 9525 w 1496181"/>
            <a:gd name="connsiteY4" fmla="*/ 209550 h 952500"/>
            <a:gd name="connsiteX5" fmla="*/ 57150 w 1496181"/>
            <a:gd name="connsiteY5" fmla="*/ 295275 h 952500"/>
            <a:gd name="connsiteX6" fmla="*/ 104775 w 1496181"/>
            <a:gd name="connsiteY6" fmla="*/ 381000 h 952500"/>
            <a:gd name="connsiteX7" fmla="*/ 123825 w 1496181"/>
            <a:gd name="connsiteY7" fmla="*/ 438150 h 952500"/>
            <a:gd name="connsiteX8" fmla="*/ 123825 w 1496181"/>
            <a:gd name="connsiteY8" fmla="*/ 676275 h 952500"/>
            <a:gd name="connsiteX9" fmla="*/ 152400 w 1496181"/>
            <a:gd name="connsiteY9" fmla="*/ 685800 h 952500"/>
            <a:gd name="connsiteX10" fmla="*/ 171450 w 1496181"/>
            <a:gd name="connsiteY10" fmla="*/ 781050 h 952500"/>
            <a:gd name="connsiteX11" fmla="*/ 190500 w 1496181"/>
            <a:gd name="connsiteY11" fmla="*/ 838200 h 952500"/>
            <a:gd name="connsiteX12" fmla="*/ 219075 w 1496181"/>
            <a:gd name="connsiteY12" fmla="*/ 866775 h 952500"/>
            <a:gd name="connsiteX13" fmla="*/ 257175 w 1496181"/>
            <a:gd name="connsiteY13" fmla="*/ 904875 h 952500"/>
            <a:gd name="connsiteX14" fmla="*/ 342900 w 1496181"/>
            <a:gd name="connsiteY14" fmla="*/ 952500 h 952500"/>
            <a:gd name="connsiteX15" fmla="*/ 381000 w 1496181"/>
            <a:gd name="connsiteY15" fmla="*/ 942975 h 952500"/>
            <a:gd name="connsiteX16" fmla="*/ 533400 w 1496181"/>
            <a:gd name="connsiteY16" fmla="*/ 933450 h 952500"/>
            <a:gd name="connsiteX17" fmla="*/ 542925 w 1496181"/>
            <a:gd name="connsiteY17" fmla="*/ 838200 h 952500"/>
            <a:gd name="connsiteX18" fmla="*/ 628650 w 1496181"/>
            <a:gd name="connsiteY18" fmla="*/ 866775 h 952500"/>
            <a:gd name="connsiteX19" fmla="*/ 762000 w 1496181"/>
            <a:gd name="connsiteY19" fmla="*/ 885825 h 952500"/>
            <a:gd name="connsiteX20" fmla="*/ 828675 w 1496181"/>
            <a:gd name="connsiteY20" fmla="*/ 895350 h 952500"/>
            <a:gd name="connsiteX21" fmla="*/ 866775 w 1496181"/>
            <a:gd name="connsiteY21" fmla="*/ 904875 h 952500"/>
            <a:gd name="connsiteX22" fmla="*/ 1009650 w 1496181"/>
            <a:gd name="connsiteY22" fmla="*/ 914400 h 952500"/>
            <a:gd name="connsiteX23" fmla="*/ 1057275 w 1496181"/>
            <a:gd name="connsiteY23" fmla="*/ 923925 h 952500"/>
            <a:gd name="connsiteX24" fmla="*/ 1228725 w 1496181"/>
            <a:gd name="connsiteY24" fmla="*/ 933450 h 952500"/>
            <a:gd name="connsiteX25" fmla="*/ 1304925 w 1496181"/>
            <a:gd name="connsiteY25" fmla="*/ 952500 h 952500"/>
            <a:gd name="connsiteX26" fmla="*/ 1438275 w 1496181"/>
            <a:gd name="connsiteY26" fmla="*/ 942975 h 952500"/>
            <a:gd name="connsiteX27" fmla="*/ 1447800 w 1496181"/>
            <a:gd name="connsiteY27" fmla="*/ 895350 h 952500"/>
            <a:gd name="connsiteX28" fmla="*/ 1466850 w 1496181"/>
            <a:gd name="connsiteY28" fmla="*/ 638175 h 952500"/>
            <a:gd name="connsiteX29" fmla="*/ 1485900 w 1496181"/>
            <a:gd name="connsiteY29" fmla="*/ 342900 h 952500"/>
            <a:gd name="connsiteX30" fmla="*/ 1476375 w 1496181"/>
            <a:gd name="connsiteY30" fmla="*/ 209550 h 952500"/>
            <a:gd name="connsiteX31" fmla="*/ 1190625 w 1496181"/>
            <a:gd name="connsiteY31" fmla="*/ 200025 h 952500"/>
            <a:gd name="connsiteX32" fmla="*/ 1152525 w 1496181"/>
            <a:gd name="connsiteY32" fmla="*/ 190500 h 952500"/>
            <a:gd name="connsiteX33" fmla="*/ 1047750 w 1496181"/>
            <a:gd name="connsiteY33" fmla="*/ 161925 h 952500"/>
            <a:gd name="connsiteX34" fmla="*/ 742950 w 1496181"/>
            <a:gd name="connsiteY34" fmla="*/ 142875 h 952500"/>
            <a:gd name="connsiteX35" fmla="*/ 676275 w 1496181"/>
            <a:gd name="connsiteY35" fmla="*/ 133350 h 952500"/>
            <a:gd name="connsiteX36" fmla="*/ 581025 w 1496181"/>
            <a:gd name="connsiteY36" fmla="*/ 114300 h 952500"/>
            <a:gd name="connsiteX37" fmla="*/ 438150 w 1496181"/>
            <a:gd name="connsiteY37" fmla="*/ 95250 h 952500"/>
            <a:gd name="connsiteX38" fmla="*/ 361950 w 1496181"/>
            <a:gd name="connsiteY38" fmla="*/ 76200 h 952500"/>
            <a:gd name="connsiteX39" fmla="*/ 323850 w 1496181"/>
            <a:gd name="connsiteY39" fmla="*/ 66675 h 952500"/>
            <a:gd name="connsiteX40" fmla="*/ 219075 w 1496181"/>
            <a:gd name="connsiteY40" fmla="*/ 38100 h 952500"/>
            <a:gd name="connsiteX41" fmla="*/ 66675 w 1496181"/>
            <a:gd name="connsiteY41" fmla="*/ 28575 h 952500"/>
            <a:gd name="connsiteX42" fmla="*/ 28575 w 1496181"/>
            <a:gd name="connsiteY42" fmla="*/ 0 h 952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1496181" h="952500">
              <a:moveTo>
                <a:pt x="28575" y="0"/>
              </a:moveTo>
              <a:lnTo>
                <a:pt x="28575" y="0"/>
              </a:lnTo>
              <a:cubicBezTo>
                <a:pt x="22225" y="28575"/>
                <a:pt x="16625" y="57327"/>
                <a:pt x="9525" y="85725"/>
              </a:cubicBezTo>
              <a:cubicBezTo>
                <a:pt x="7090" y="95465"/>
                <a:pt x="0" y="104260"/>
                <a:pt x="0" y="114300"/>
              </a:cubicBezTo>
              <a:cubicBezTo>
                <a:pt x="0" y="146208"/>
                <a:pt x="4673" y="178013"/>
                <a:pt x="9525" y="209550"/>
              </a:cubicBezTo>
              <a:cubicBezTo>
                <a:pt x="17732" y="262897"/>
                <a:pt x="32996" y="222812"/>
                <a:pt x="57150" y="295275"/>
              </a:cubicBezTo>
              <a:cubicBezTo>
                <a:pt x="73915" y="345570"/>
                <a:pt x="61106" y="315496"/>
                <a:pt x="104775" y="381000"/>
              </a:cubicBezTo>
              <a:cubicBezTo>
                <a:pt x="115914" y="397708"/>
                <a:pt x="123825" y="438150"/>
                <a:pt x="123825" y="438150"/>
              </a:cubicBezTo>
              <a:cubicBezTo>
                <a:pt x="119910" y="492961"/>
                <a:pt x="103884" y="616453"/>
                <a:pt x="123825" y="676275"/>
              </a:cubicBezTo>
              <a:cubicBezTo>
                <a:pt x="127000" y="685800"/>
                <a:pt x="142875" y="682625"/>
                <a:pt x="152400" y="685800"/>
              </a:cubicBezTo>
              <a:cubicBezTo>
                <a:pt x="178814" y="765042"/>
                <a:pt x="138615" y="638766"/>
                <a:pt x="171450" y="781050"/>
              </a:cubicBezTo>
              <a:cubicBezTo>
                <a:pt x="175965" y="800616"/>
                <a:pt x="184150" y="819150"/>
                <a:pt x="190500" y="838200"/>
              </a:cubicBezTo>
              <a:cubicBezTo>
                <a:pt x="194760" y="850979"/>
                <a:pt x="209550" y="857250"/>
                <a:pt x="219075" y="866775"/>
              </a:cubicBezTo>
              <a:cubicBezTo>
                <a:pt x="235239" y="915266"/>
                <a:pt x="215611" y="881784"/>
                <a:pt x="257175" y="904875"/>
              </a:cubicBezTo>
              <a:cubicBezTo>
                <a:pt x="355431" y="959462"/>
                <a:pt x="278242" y="930947"/>
                <a:pt x="342900" y="952500"/>
              </a:cubicBezTo>
              <a:cubicBezTo>
                <a:pt x="355600" y="949325"/>
                <a:pt x="367974" y="944278"/>
                <a:pt x="381000" y="942975"/>
              </a:cubicBezTo>
              <a:cubicBezTo>
                <a:pt x="431647" y="937910"/>
                <a:pt x="490667" y="961101"/>
                <a:pt x="533400" y="933450"/>
              </a:cubicBezTo>
              <a:cubicBezTo>
                <a:pt x="560189" y="916116"/>
                <a:pt x="539750" y="869950"/>
                <a:pt x="542925" y="838200"/>
              </a:cubicBezTo>
              <a:cubicBezTo>
                <a:pt x="590467" y="869895"/>
                <a:pt x="555319" y="852109"/>
                <a:pt x="628650" y="866775"/>
              </a:cubicBezTo>
              <a:cubicBezTo>
                <a:pt x="749151" y="890875"/>
                <a:pt x="528328" y="858334"/>
                <a:pt x="762000" y="885825"/>
              </a:cubicBezTo>
              <a:cubicBezTo>
                <a:pt x="784297" y="888448"/>
                <a:pt x="806586" y="891334"/>
                <a:pt x="828675" y="895350"/>
              </a:cubicBezTo>
              <a:cubicBezTo>
                <a:pt x="841555" y="897692"/>
                <a:pt x="853756" y="903505"/>
                <a:pt x="866775" y="904875"/>
              </a:cubicBezTo>
              <a:cubicBezTo>
                <a:pt x="914243" y="909872"/>
                <a:pt x="962025" y="911225"/>
                <a:pt x="1009650" y="914400"/>
              </a:cubicBezTo>
              <a:cubicBezTo>
                <a:pt x="1025525" y="917575"/>
                <a:pt x="1041146" y="922523"/>
                <a:pt x="1057275" y="923925"/>
              </a:cubicBezTo>
              <a:cubicBezTo>
                <a:pt x="1114298" y="928884"/>
                <a:pt x="1171702" y="928491"/>
                <a:pt x="1228725" y="933450"/>
              </a:cubicBezTo>
              <a:cubicBezTo>
                <a:pt x="1259827" y="936154"/>
                <a:pt x="1277345" y="943307"/>
                <a:pt x="1304925" y="952500"/>
              </a:cubicBezTo>
              <a:lnTo>
                <a:pt x="1438275" y="942975"/>
              </a:lnTo>
              <a:cubicBezTo>
                <a:pt x="1453306" y="936962"/>
                <a:pt x="1446289" y="911469"/>
                <a:pt x="1447800" y="895350"/>
              </a:cubicBezTo>
              <a:cubicBezTo>
                <a:pt x="1455824" y="809765"/>
                <a:pt x="1463116" y="724054"/>
                <a:pt x="1466850" y="638175"/>
              </a:cubicBezTo>
              <a:cubicBezTo>
                <a:pt x="1477487" y="393526"/>
                <a:pt x="1467309" y="491630"/>
                <a:pt x="1485900" y="342900"/>
              </a:cubicBezTo>
              <a:cubicBezTo>
                <a:pt x="1482725" y="298450"/>
                <a:pt x="1516489" y="228960"/>
                <a:pt x="1476375" y="209550"/>
              </a:cubicBezTo>
              <a:cubicBezTo>
                <a:pt x="1390587" y="168040"/>
                <a:pt x="1285763" y="205621"/>
                <a:pt x="1190625" y="200025"/>
              </a:cubicBezTo>
              <a:cubicBezTo>
                <a:pt x="1177557" y="199256"/>
                <a:pt x="1165064" y="194262"/>
                <a:pt x="1152525" y="190500"/>
              </a:cubicBezTo>
              <a:cubicBezTo>
                <a:pt x="1098913" y="174416"/>
                <a:pt x="1099831" y="168869"/>
                <a:pt x="1047750" y="161925"/>
              </a:cubicBezTo>
              <a:cubicBezTo>
                <a:pt x="945445" y="148284"/>
                <a:pt x="847373" y="147622"/>
                <a:pt x="742950" y="142875"/>
              </a:cubicBezTo>
              <a:cubicBezTo>
                <a:pt x="720725" y="139700"/>
                <a:pt x="698364" y="137366"/>
                <a:pt x="676275" y="133350"/>
              </a:cubicBezTo>
              <a:cubicBezTo>
                <a:pt x="572163" y="114421"/>
                <a:pt x="720833" y="132941"/>
                <a:pt x="581025" y="114300"/>
              </a:cubicBezTo>
              <a:cubicBezTo>
                <a:pt x="522185" y="106455"/>
                <a:pt x="492707" y="106941"/>
                <a:pt x="438150" y="95250"/>
              </a:cubicBezTo>
              <a:cubicBezTo>
                <a:pt x="412549" y="89764"/>
                <a:pt x="387350" y="82550"/>
                <a:pt x="361950" y="76200"/>
              </a:cubicBezTo>
              <a:cubicBezTo>
                <a:pt x="349250" y="73025"/>
                <a:pt x="336269" y="70815"/>
                <a:pt x="323850" y="66675"/>
              </a:cubicBezTo>
              <a:cubicBezTo>
                <a:pt x="288079" y="54751"/>
                <a:pt x="256772" y="41690"/>
                <a:pt x="219075" y="38100"/>
              </a:cubicBezTo>
              <a:cubicBezTo>
                <a:pt x="168405" y="33274"/>
                <a:pt x="117475" y="31750"/>
                <a:pt x="66675" y="28575"/>
              </a:cubicBezTo>
              <a:lnTo>
                <a:pt x="2857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37582</xdr:colOff>
      <xdr:row>87</xdr:row>
      <xdr:rowOff>127934</xdr:rowOff>
    </xdr:from>
    <xdr:to>
      <xdr:col>6</xdr:col>
      <xdr:colOff>384465</xdr:colOff>
      <xdr:row>92</xdr:row>
      <xdr:rowOff>86846</xdr:rowOff>
    </xdr:to>
    <xdr:sp macro="" textlink="">
      <xdr:nvSpPr>
        <xdr:cNvPr id="13" name="Wyoming"/>
        <xdr:cNvSpPr/>
      </xdr:nvSpPr>
      <xdr:spPr>
        <a:xfrm>
          <a:off x="2590282" y="14631334"/>
          <a:ext cx="956483" cy="784412"/>
        </a:xfrm>
        <a:custGeom>
          <a:avLst/>
          <a:gdLst>
            <a:gd name="connsiteX0" fmla="*/ 124012 w 1022598"/>
            <a:gd name="connsiteY0" fmla="*/ 0 h 809625"/>
            <a:gd name="connsiteX1" fmla="*/ 124012 w 1022598"/>
            <a:gd name="connsiteY1" fmla="*/ 0 h 809625"/>
            <a:gd name="connsiteX2" fmla="*/ 95437 w 1022598"/>
            <a:gd name="connsiteY2" fmla="*/ 95250 h 809625"/>
            <a:gd name="connsiteX3" fmla="*/ 85912 w 1022598"/>
            <a:gd name="connsiteY3" fmla="*/ 123825 h 809625"/>
            <a:gd name="connsiteX4" fmla="*/ 76387 w 1022598"/>
            <a:gd name="connsiteY4" fmla="*/ 180975 h 809625"/>
            <a:gd name="connsiteX5" fmla="*/ 57337 w 1022598"/>
            <a:gd name="connsiteY5" fmla="*/ 390525 h 809625"/>
            <a:gd name="connsiteX6" fmla="*/ 47812 w 1022598"/>
            <a:gd name="connsiteY6" fmla="*/ 466725 h 809625"/>
            <a:gd name="connsiteX7" fmla="*/ 28762 w 1022598"/>
            <a:gd name="connsiteY7" fmla="*/ 542925 h 809625"/>
            <a:gd name="connsiteX8" fmla="*/ 19237 w 1022598"/>
            <a:gd name="connsiteY8" fmla="*/ 581025 h 809625"/>
            <a:gd name="connsiteX9" fmla="*/ 9712 w 1022598"/>
            <a:gd name="connsiteY9" fmla="*/ 685800 h 809625"/>
            <a:gd name="connsiteX10" fmla="*/ 187 w 1022598"/>
            <a:gd name="connsiteY10" fmla="*/ 714375 h 809625"/>
            <a:gd name="connsiteX11" fmla="*/ 19237 w 1022598"/>
            <a:gd name="connsiteY11" fmla="*/ 742950 h 809625"/>
            <a:gd name="connsiteX12" fmla="*/ 76387 w 1022598"/>
            <a:gd name="connsiteY12" fmla="*/ 762000 h 809625"/>
            <a:gd name="connsiteX13" fmla="*/ 143062 w 1022598"/>
            <a:gd name="connsiteY13" fmla="*/ 781050 h 809625"/>
            <a:gd name="connsiteX14" fmla="*/ 609787 w 1022598"/>
            <a:gd name="connsiteY14" fmla="*/ 790575 h 809625"/>
            <a:gd name="connsiteX15" fmla="*/ 676462 w 1022598"/>
            <a:gd name="connsiteY15" fmla="*/ 809625 h 809625"/>
            <a:gd name="connsiteX16" fmla="*/ 762187 w 1022598"/>
            <a:gd name="connsiteY16" fmla="*/ 790575 h 809625"/>
            <a:gd name="connsiteX17" fmla="*/ 838387 w 1022598"/>
            <a:gd name="connsiteY17" fmla="*/ 781050 h 809625"/>
            <a:gd name="connsiteX18" fmla="*/ 952687 w 1022598"/>
            <a:gd name="connsiteY18" fmla="*/ 790575 h 809625"/>
            <a:gd name="connsiteX19" fmla="*/ 981262 w 1022598"/>
            <a:gd name="connsiteY19" fmla="*/ 800100 h 809625"/>
            <a:gd name="connsiteX20" fmla="*/ 1000312 w 1022598"/>
            <a:gd name="connsiteY20" fmla="*/ 752475 h 809625"/>
            <a:gd name="connsiteX21" fmla="*/ 1019362 w 1022598"/>
            <a:gd name="connsiteY21" fmla="*/ 180975 h 809625"/>
            <a:gd name="connsiteX22" fmla="*/ 1009837 w 1022598"/>
            <a:gd name="connsiteY22" fmla="*/ 95250 h 809625"/>
            <a:gd name="connsiteX23" fmla="*/ 914587 w 1022598"/>
            <a:gd name="connsiteY23" fmla="*/ 85725 h 809625"/>
            <a:gd name="connsiteX24" fmla="*/ 876487 w 1022598"/>
            <a:gd name="connsiteY24" fmla="*/ 76200 h 809625"/>
            <a:gd name="connsiteX25" fmla="*/ 600262 w 1022598"/>
            <a:gd name="connsiteY25" fmla="*/ 57150 h 809625"/>
            <a:gd name="connsiteX26" fmla="*/ 343087 w 1022598"/>
            <a:gd name="connsiteY26" fmla="*/ 38100 h 809625"/>
            <a:gd name="connsiteX27" fmla="*/ 190687 w 1022598"/>
            <a:gd name="connsiteY27" fmla="*/ 19050 h 809625"/>
            <a:gd name="connsiteX28" fmla="*/ 124012 w 1022598"/>
            <a:gd name="connsiteY28" fmla="*/ 0 h 809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1022598" h="809625">
              <a:moveTo>
                <a:pt x="124012" y="0"/>
              </a:moveTo>
              <a:lnTo>
                <a:pt x="124012" y="0"/>
              </a:lnTo>
              <a:cubicBezTo>
                <a:pt x="114487" y="31750"/>
                <a:pt x="105185" y="63568"/>
                <a:pt x="95437" y="95250"/>
              </a:cubicBezTo>
              <a:cubicBezTo>
                <a:pt x="92484" y="104846"/>
                <a:pt x="88090" y="114024"/>
                <a:pt x="85912" y="123825"/>
              </a:cubicBezTo>
              <a:cubicBezTo>
                <a:pt x="81722" y="142678"/>
                <a:pt x="79562" y="161925"/>
                <a:pt x="76387" y="180975"/>
              </a:cubicBezTo>
              <a:cubicBezTo>
                <a:pt x="66912" y="304148"/>
                <a:pt x="69867" y="284018"/>
                <a:pt x="57337" y="390525"/>
              </a:cubicBezTo>
              <a:cubicBezTo>
                <a:pt x="54346" y="415947"/>
                <a:pt x="51704" y="441425"/>
                <a:pt x="47812" y="466725"/>
              </a:cubicBezTo>
              <a:cubicBezTo>
                <a:pt x="38129" y="529662"/>
                <a:pt x="42283" y="495601"/>
                <a:pt x="28762" y="542925"/>
              </a:cubicBezTo>
              <a:cubicBezTo>
                <a:pt x="25166" y="555512"/>
                <a:pt x="22412" y="568325"/>
                <a:pt x="19237" y="581025"/>
              </a:cubicBezTo>
              <a:cubicBezTo>
                <a:pt x="16062" y="615950"/>
                <a:pt x="14672" y="651083"/>
                <a:pt x="9712" y="685800"/>
              </a:cubicBezTo>
              <a:cubicBezTo>
                <a:pt x="8292" y="695739"/>
                <a:pt x="-1464" y="704471"/>
                <a:pt x="187" y="714375"/>
              </a:cubicBezTo>
              <a:cubicBezTo>
                <a:pt x="2069" y="725667"/>
                <a:pt x="9529" y="736883"/>
                <a:pt x="19237" y="742950"/>
              </a:cubicBezTo>
              <a:cubicBezTo>
                <a:pt x="36265" y="753593"/>
                <a:pt x="57337" y="755650"/>
                <a:pt x="76387" y="762000"/>
              </a:cubicBezTo>
              <a:cubicBezTo>
                <a:pt x="91033" y="766882"/>
                <a:pt x="129575" y="780541"/>
                <a:pt x="143062" y="781050"/>
              </a:cubicBezTo>
              <a:cubicBezTo>
                <a:pt x="298559" y="786918"/>
                <a:pt x="454212" y="787400"/>
                <a:pt x="609787" y="790575"/>
              </a:cubicBezTo>
              <a:cubicBezTo>
                <a:pt x="623262" y="795067"/>
                <a:pt x="664502" y="809625"/>
                <a:pt x="676462" y="809625"/>
              </a:cubicBezTo>
              <a:cubicBezTo>
                <a:pt x="697640" y="809625"/>
                <a:pt x="740146" y="794249"/>
                <a:pt x="762187" y="790575"/>
              </a:cubicBezTo>
              <a:cubicBezTo>
                <a:pt x="787436" y="786367"/>
                <a:pt x="812987" y="784225"/>
                <a:pt x="838387" y="781050"/>
              </a:cubicBezTo>
              <a:cubicBezTo>
                <a:pt x="876487" y="784225"/>
                <a:pt x="914790" y="785522"/>
                <a:pt x="952687" y="790575"/>
              </a:cubicBezTo>
              <a:cubicBezTo>
                <a:pt x="962639" y="791902"/>
                <a:pt x="973422" y="806372"/>
                <a:pt x="981262" y="800100"/>
              </a:cubicBezTo>
              <a:cubicBezTo>
                <a:pt x="994613" y="789419"/>
                <a:pt x="993962" y="768350"/>
                <a:pt x="1000312" y="752475"/>
              </a:cubicBezTo>
              <a:cubicBezTo>
                <a:pt x="1007789" y="580504"/>
                <a:pt x="1019362" y="341972"/>
                <a:pt x="1019362" y="180975"/>
              </a:cubicBezTo>
              <a:cubicBezTo>
                <a:pt x="1019362" y="152224"/>
                <a:pt x="1031111" y="114590"/>
                <a:pt x="1009837" y="95250"/>
              </a:cubicBezTo>
              <a:cubicBezTo>
                <a:pt x="986227" y="73786"/>
                <a:pt x="946337" y="88900"/>
                <a:pt x="914587" y="85725"/>
              </a:cubicBezTo>
              <a:cubicBezTo>
                <a:pt x="901887" y="82550"/>
                <a:pt x="889367" y="78542"/>
                <a:pt x="876487" y="76200"/>
              </a:cubicBezTo>
              <a:cubicBezTo>
                <a:pt x="779420" y="58551"/>
                <a:pt x="711314" y="62198"/>
                <a:pt x="600262" y="57150"/>
              </a:cubicBezTo>
              <a:cubicBezTo>
                <a:pt x="466773" y="34902"/>
                <a:pt x="598681" y="54590"/>
                <a:pt x="343087" y="38100"/>
              </a:cubicBezTo>
              <a:cubicBezTo>
                <a:pt x="268382" y="33280"/>
                <a:pt x="255245" y="29810"/>
                <a:pt x="190687" y="19050"/>
              </a:cubicBezTo>
              <a:cubicBezTo>
                <a:pt x="155377" y="7280"/>
                <a:pt x="135125" y="3175"/>
                <a:pt x="124012"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180359</xdr:colOff>
      <xdr:row>90</xdr:row>
      <xdr:rowOff>112806</xdr:rowOff>
    </xdr:from>
    <xdr:to>
      <xdr:col>5</xdr:col>
      <xdr:colOff>299987</xdr:colOff>
      <xdr:row>96</xdr:row>
      <xdr:rowOff>92075</xdr:rowOff>
    </xdr:to>
    <xdr:sp macro="" textlink="">
      <xdr:nvSpPr>
        <xdr:cNvPr id="14" name="Utah"/>
        <xdr:cNvSpPr/>
      </xdr:nvSpPr>
      <xdr:spPr>
        <a:xfrm>
          <a:off x="2123459" y="15111506"/>
          <a:ext cx="729228" cy="969869"/>
        </a:xfrm>
        <a:custGeom>
          <a:avLst/>
          <a:gdLst>
            <a:gd name="connsiteX0" fmla="*/ 152685 w 790860"/>
            <a:gd name="connsiteY0" fmla="*/ 0 h 1000125"/>
            <a:gd name="connsiteX1" fmla="*/ 152685 w 790860"/>
            <a:gd name="connsiteY1" fmla="*/ 0 h 1000125"/>
            <a:gd name="connsiteX2" fmla="*/ 133635 w 790860"/>
            <a:gd name="connsiteY2" fmla="*/ 161925 h 1000125"/>
            <a:gd name="connsiteX3" fmla="*/ 124110 w 790860"/>
            <a:gd name="connsiteY3" fmla="*/ 228600 h 1000125"/>
            <a:gd name="connsiteX4" fmla="*/ 114585 w 790860"/>
            <a:gd name="connsiteY4" fmla="*/ 304800 h 1000125"/>
            <a:gd name="connsiteX5" fmla="*/ 105060 w 790860"/>
            <a:gd name="connsiteY5" fmla="*/ 333375 h 1000125"/>
            <a:gd name="connsiteX6" fmla="*/ 95535 w 790860"/>
            <a:gd name="connsiteY6" fmla="*/ 371475 h 1000125"/>
            <a:gd name="connsiteX7" fmla="*/ 86010 w 790860"/>
            <a:gd name="connsiteY7" fmla="*/ 400050 h 1000125"/>
            <a:gd name="connsiteX8" fmla="*/ 57435 w 790860"/>
            <a:gd name="connsiteY8" fmla="*/ 552450 h 1000125"/>
            <a:gd name="connsiteX9" fmla="*/ 47910 w 790860"/>
            <a:gd name="connsiteY9" fmla="*/ 581025 h 1000125"/>
            <a:gd name="connsiteX10" fmla="*/ 38385 w 790860"/>
            <a:gd name="connsiteY10" fmla="*/ 619125 h 1000125"/>
            <a:gd name="connsiteX11" fmla="*/ 28860 w 790860"/>
            <a:gd name="connsiteY11" fmla="*/ 647700 h 1000125"/>
            <a:gd name="connsiteX12" fmla="*/ 19335 w 790860"/>
            <a:gd name="connsiteY12" fmla="*/ 695325 h 1000125"/>
            <a:gd name="connsiteX13" fmla="*/ 285 w 790860"/>
            <a:gd name="connsiteY13" fmla="*/ 800100 h 1000125"/>
            <a:gd name="connsiteX14" fmla="*/ 9810 w 790860"/>
            <a:gd name="connsiteY14" fmla="*/ 904875 h 1000125"/>
            <a:gd name="connsiteX15" fmla="*/ 95535 w 790860"/>
            <a:gd name="connsiteY15" fmla="*/ 933450 h 1000125"/>
            <a:gd name="connsiteX16" fmla="*/ 124110 w 790860"/>
            <a:gd name="connsiteY16" fmla="*/ 942975 h 1000125"/>
            <a:gd name="connsiteX17" fmla="*/ 238410 w 790860"/>
            <a:gd name="connsiteY17" fmla="*/ 952500 h 1000125"/>
            <a:gd name="connsiteX18" fmla="*/ 381285 w 790860"/>
            <a:gd name="connsiteY18" fmla="*/ 971550 h 1000125"/>
            <a:gd name="connsiteX19" fmla="*/ 590835 w 790860"/>
            <a:gd name="connsiteY19" fmla="*/ 981075 h 1000125"/>
            <a:gd name="connsiteX20" fmla="*/ 628935 w 790860"/>
            <a:gd name="connsiteY20" fmla="*/ 990600 h 1000125"/>
            <a:gd name="connsiteX21" fmla="*/ 657510 w 790860"/>
            <a:gd name="connsiteY21" fmla="*/ 1000125 h 1000125"/>
            <a:gd name="connsiteX22" fmla="*/ 724185 w 790860"/>
            <a:gd name="connsiteY22" fmla="*/ 990600 h 1000125"/>
            <a:gd name="connsiteX23" fmla="*/ 733710 w 790860"/>
            <a:gd name="connsiteY23" fmla="*/ 942975 h 1000125"/>
            <a:gd name="connsiteX24" fmla="*/ 743235 w 790860"/>
            <a:gd name="connsiteY24" fmla="*/ 819150 h 1000125"/>
            <a:gd name="connsiteX25" fmla="*/ 762285 w 790860"/>
            <a:gd name="connsiteY25" fmla="*/ 742950 h 1000125"/>
            <a:gd name="connsiteX26" fmla="*/ 771810 w 790860"/>
            <a:gd name="connsiteY26" fmla="*/ 666750 h 1000125"/>
            <a:gd name="connsiteX27" fmla="*/ 781335 w 790860"/>
            <a:gd name="connsiteY27" fmla="*/ 628650 h 1000125"/>
            <a:gd name="connsiteX28" fmla="*/ 790860 w 790860"/>
            <a:gd name="connsiteY28" fmla="*/ 514350 h 1000125"/>
            <a:gd name="connsiteX29" fmla="*/ 781335 w 790860"/>
            <a:gd name="connsiteY29" fmla="*/ 361950 h 1000125"/>
            <a:gd name="connsiteX30" fmla="*/ 771810 w 790860"/>
            <a:gd name="connsiteY30" fmla="*/ 304800 h 1000125"/>
            <a:gd name="connsiteX31" fmla="*/ 667035 w 790860"/>
            <a:gd name="connsiteY31" fmla="*/ 276225 h 1000125"/>
            <a:gd name="connsiteX32" fmla="*/ 638460 w 790860"/>
            <a:gd name="connsiteY32" fmla="*/ 266700 h 1000125"/>
            <a:gd name="connsiteX33" fmla="*/ 562260 w 790860"/>
            <a:gd name="connsiteY33" fmla="*/ 247650 h 1000125"/>
            <a:gd name="connsiteX34" fmla="*/ 524160 w 790860"/>
            <a:gd name="connsiteY34" fmla="*/ 238125 h 1000125"/>
            <a:gd name="connsiteX35" fmla="*/ 495585 w 790860"/>
            <a:gd name="connsiteY35" fmla="*/ 228600 h 1000125"/>
            <a:gd name="connsiteX36" fmla="*/ 495585 w 790860"/>
            <a:gd name="connsiteY36" fmla="*/ 142875 h 1000125"/>
            <a:gd name="connsiteX37" fmla="*/ 505110 w 790860"/>
            <a:gd name="connsiteY37" fmla="*/ 114300 h 1000125"/>
            <a:gd name="connsiteX38" fmla="*/ 495585 w 790860"/>
            <a:gd name="connsiteY38" fmla="*/ 57150 h 1000125"/>
            <a:gd name="connsiteX39" fmla="*/ 352710 w 790860"/>
            <a:gd name="connsiteY39" fmla="*/ 47625 h 1000125"/>
            <a:gd name="connsiteX40" fmla="*/ 266985 w 790860"/>
            <a:gd name="connsiteY40" fmla="*/ 28575 h 1000125"/>
            <a:gd name="connsiteX41" fmla="*/ 219360 w 790860"/>
            <a:gd name="connsiteY41" fmla="*/ 19050 h 1000125"/>
            <a:gd name="connsiteX42" fmla="*/ 152685 w 790860"/>
            <a:gd name="connsiteY42" fmla="*/ 0 h 1000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790860" h="1000125">
              <a:moveTo>
                <a:pt x="152685" y="0"/>
              </a:moveTo>
              <a:lnTo>
                <a:pt x="152685" y="0"/>
              </a:lnTo>
              <a:cubicBezTo>
                <a:pt x="145234" y="67055"/>
                <a:pt x="142362" y="96469"/>
                <a:pt x="133635" y="161925"/>
              </a:cubicBezTo>
              <a:cubicBezTo>
                <a:pt x="130668" y="184179"/>
                <a:pt x="127077" y="206346"/>
                <a:pt x="124110" y="228600"/>
              </a:cubicBezTo>
              <a:cubicBezTo>
                <a:pt x="120727" y="253973"/>
                <a:pt x="119164" y="279615"/>
                <a:pt x="114585" y="304800"/>
              </a:cubicBezTo>
              <a:cubicBezTo>
                <a:pt x="112789" y="314678"/>
                <a:pt x="107818" y="323721"/>
                <a:pt x="105060" y="333375"/>
              </a:cubicBezTo>
              <a:cubicBezTo>
                <a:pt x="101464" y="345962"/>
                <a:pt x="99131" y="358888"/>
                <a:pt x="95535" y="371475"/>
              </a:cubicBezTo>
              <a:cubicBezTo>
                <a:pt x="92777" y="381129"/>
                <a:pt x="88652" y="390364"/>
                <a:pt x="86010" y="400050"/>
              </a:cubicBezTo>
              <a:cubicBezTo>
                <a:pt x="47530" y="541144"/>
                <a:pt x="83134" y="411103"/>
                <a:pt x="57435" y="552450"/>
              </a:cubicBezTo>
              <a:cubicBezTo>
                <a:pt x="55639" y="562328"/>
                <a:pt x="50668" y="571371"/>
                <a:pt x="47910" y="581025"/>
              </a:cubicBezTo>
              <a:cubicBezTo>
                <a:pt x="44314" y="593612"/>
                <a:pt x="41981" y="606538"/>
                <a:pt x="38385" y="619125"/>
              </a:cubicBezTo>
              <a:cubicBezTo>
                <a:pt x="35627" y="628779"/>
                <a:pt x="31295" y="637960"/>
                <a:pt x="28860" y="647700"/>
              </a:cubicBezTo>
              <a:cubicBezTo>
                <a:pt x="24933" y="663406"/>
                <a:pt x="22847" y="679521"/>
                <a:pt x="19335" y="695325"/>
              </a:cubicBezTo>
              <a:cubicBezTo>
                <a:pt x="1371" y="776163"/>
                <a:pt x="16796" y="684523"/>
                <a:pt x="285" y="800100"/>
              </a:cubicBezTo>
              <a:cubicBezTo>
                <a:pt x="3460" y="835025"/>
                <a:pt x="-6816" y="873998"/>
                <a:pt x="9810" y="904875"/>
              </a:cubicBezTo>
              <a:lnTo>
                <a:pt x="95535" y="933450"/>
              </a:lnTo>
              <a:cubicBezTo>
                <a:pt x="105060" y="936625"/>
                <a:pt x="114104" y="942141"/>
                <a:pt x="124110" y="942975"/>
              </a:cubicBezTo>
              <a:cubicBezTo>
                <a:pt x="162210" y="946150"/>
                <a:pt x="200388" y="948498"/>
                <a:pt x="238410" y="952500"/>
              </a:cubicBezTo>
              <a:cubicBezTo>
                <a:pt x="289514" y="957879"/>
                <a:pt x="329454" y="968095"/>
                <a:pt x="381285" y="971550"/>
              </a:cubicBezTo>
              <a:cubicBezTo>
                <a:pt x="451052" y="976201"/>
                <a:pt x="520985" y="977900"/>
                <a:pt x="590835" y="981075"/>
              </a:cubicBezTo>
              <a:cubicBezTo>
                <a:pt x="603535" y="984250"/>
                <a:pt x="616348" y="987004"/>
                <a:pt x="628935" y="990600"/>
              </a:cubicBezTo>
              <a:cubicBezTo>
                <a:pt x="638589" y="993358"/>
                <a:pt x="647470" y="1000125"/>
                <a:pt x="657510" y="1000125"/>
              </a:cubicBezTo>
              <a:cubicBezTo>
                <a:pt x="679961" y="1000125"/>
                <a:pt x="701960" y="993775"/>
                <a:pt x="724185" y="990600"/>
              </a:cubicBezTo>
              <a:cubicBezTo>
                <a:pt x="727360" y="974725"/>
                <a:pt x="731922" y="959065"/>
                <a:pt x="733710" y="942975"/>
              </a:cubicBezTo>
              <a:cubicBezTo>
                <a:pt x="738282" y="901831"/>
                <a:pt x="737381" y="860131"/>
                <a:pt x="743235" y="819150"/>
              </a:cubicBezTo>
              <a:cubicBezTo>
                <a:pt x="746938" y="793231"/>
                <a:pt x="755935" y="768350"/>
                <a:pt x="762285" y="742950"/>
              </a:cubicBezTo>
              <a:cubicBezTo>
                <a:pt x="768493" y="718117"/>
                <a:pt x="767602" y="691999"/>
                <a:pt x="771810" y="666750"/>
              </a:cubicBezTo>
              <a:cubicBezTo>
                <a:pt x="773962" y="653837"/>
                <a:pt x="778160" y="641350"/>
                <a:pt x="781335" y="628650"/>
              </a:cubicBezTo>
              <a:cubicBezTo>
                <a:pt x="784510" y="590550"/>
                <a:pt x="790860" y="552582"/>
                <a:pt x="790860" y="514350"/>
              </a:cubicBezTo>
              <a:cubicBezTo>
                <a:pt x="790860" y="463451"/>
                <a:pt x="785943" y="412640"/>
                <a:pt x="781335" y="361950"/>
              </a:cubicBezTo>
              <a:cubicBezTo>
                <a:pt x="779587" y="342717"/>
                <a:pt x="784528" y="319334"/>
                <a:pt x="771810" y="304800"/>
              </a:cubicBezTo>
              <a:cubicBezTo>
                <a:pt x="760367" y="291722"/>
                <a:pt x="685118" y="280746"/>
                <a:pt x="667035" y="276225"/>
              </a:cubicBezTo>
              <a:cubicBezTo>
                <a:pt x="657295" y="273790"/>
                <a:pt x="648146" y="269342"/>
                <a:pt x="638460" y="266700"/>
              </a:cubicBezTo>
              <a:cubicBezTo>
                <a:pt x="613201" y="259811"/>
                <a:pt x="587660" y="254000"/>
                <a:pt x="562260" y="247650"/>
              </a:cubicBezTo>
              <a:cubicBezTo>
                <a:pt x="549560" y="244475"/>
                <a:pt x="536579" y="242265"/>
                <a:pt x="524160" y="238125"/>
              </a:cubicBezTo>
              <a:lnTo>
                <a:pt x="495585" y="228600"/>
              </a:lnTo>
              <a:cubicBezTo>
                <a:pt x="465396" y="183317"/>
                <a:pt x="472915" y="210885"/>
                <a:pt x="495585" y="142875"/>
              </a:cubicBezTo>
              <a:lnTo>
                <a:pt x="505110" y="114300"/>
              </a:lnTo>
              <a:cubicBezTo>
                <a:pt x="501935" y="95250"/>
                <a:pt x="513279" y="64891"/>
                <a:pt x="495585" y="57150"/>
              </a:cubicBezTo>
              <a:cubicBezTo>
                <a:pt x="451856" y="38019"/>
                <a:pt x="400204" y="52374"/>
                <a:pt x="352710" y="47625"/>
              </a:cubicBezTo>
              <a:cubicBezTo>
                <a:pt x="326594" y="45013"/>
                <a:pt x="293019" y="34360"/>
                <a:pt x="266985" y="28575"/>
              </a:cubicBezTo>
              <a:cubicBezTo>
                <a:pt x="251181" y="25063"/>
                <a:pt x="235066" y="22977"/>
                <a:pt x="219360" y="19050"/>
              </a:cubicBezTo>
              <a:cubicBezTo>
                <a:pt x="173228" y="7517"/>
                <a:pt x="163798" y="3175"/>
                <a:pt x="15268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451266</xdr:colOff>
      <xdr:row>95</xdr:row>
      <xdr:rowOff>133350</xdr:rowOff>
    </xdr:from>
    <xdr:to>
      <xdr:col>5</xdr:col>
      <xdr:colOff>198634</xdr:colOff>
      <xdr:row>102</xdr:row>
      <xdr:rowOff>94879</xdr:rowOff>
    </xdr:to>
    <xdr:sp macro="" textlink="">
      <xdr:nvSpPr>
        <xdr:cNvPr id="15" name="Arizona"/>
        <xdr:cNvSpPr/>
      </xdr:nvSpPr>
      <xdr:spPr>
        <a:xfrm>
          <a:off x="1784766" y="15957550"/>
          <a:ext cx="966568" cy="1117229"/>
        </a:xfrm>
        <a:custGeom>
          <a:avLst/>
          <a:gdLst>
            <a:gd name="connsiteX0" fmla="*/ 238125 w 965447"/>
            <a:gd name="connsiteY0" fmla="*/ 0 h 1152527"/>
            <a:gd name="connsiteX1" fmla="*/ 238125 w 965447"/>
            <a:gd name="connsiteY1" fmla="*/ 0 h 1152527"/>
            <a:gd name="connsiteX2" fmla="*/ 180975 w 965447"/>
            <a:gd name="connsiteY2" fmla="*/ 142875 h 1152527"/>
            <a:gd name="connsiteX3" fmla="*/ 152400 w 965447"/>
            <a:gd name="connsiteY3" fmla="*/ 152400 h 1152527"/>
            <a:gd name="connsiteX4" fmla="*/ 123825 w 965447"/>
            <a:gd name="connsiteY4" fmla="*/ 142875 h 1152527"/>
            <a:gd name="connsiteX5" fmla="*/ 114300 w 965447"/>
            <a:gd name="connsiteY5" fmla="*/ 209550 h 1152527"/>
            <a:gd name="connsiteX6" fmla="*/ 95250 w 965447"/>
            <a:gd name="connsiteY6" fmla="*/ 285750 h 1152527"/>
            <a:gd name="connsiteX7" fmla="*/ 85725 w 965447"/>
            <a:gd name="connsiteY7" fmla="*/ 333375 h 1152527"/>
            <a:gd name="connsiteX8" fmla="*/ 95250 w 965447"/>
            <a:gd name="connsiteY8" fmla="*/ 457200 h 1152527"/>
            <a:gd name="connsiteX9" fmla="*/ 133350 w 965447"/>
            <a:gd name="connsiteY9" fmla="*/ 514350 h 1152527"/>
            <a:gd name="connsiteX10" fmla="*/ 104775 w 965447"/>
            <a:gd name="connsiteY10" fmla="*/ 609600 h 1152527"/>
            <a:gd name="connsiteX11" fmla="*/ 95250 w 965447"/>
            <a:gd name="connsiteY11" fmla="*/ 666750 h 1152527"/>
            <a:gd name="connsiteX12" fmla="*/ 76200 w 965447"/>
            <a:gd name="connsiteY12" fmla="*/ 704850 h 1152527"/>
            <a:gd name="connsiteX13" fmla="*/ 66675 w 965447"/>
            <a:gd name="connsiteY13" fmla="*/ 733425 h 1152527"/>
            <a:gd name="connsiteX14" fmla="*/ 28575 w 965447"/>
            <a:gd name="connsiteY14" fmla="*/ 790575 h 1152527"/>
            <a:gd name="connsiteX15" fmla="*/ 0 w 965447"/>
            <a:gd name="connsiteY15" fmla="*/ 819150 h 1152527"/>
            <a:gd name="connsiteX16" fmla="*/ 28575 w 965447"/>
            <a:gd name="connsiteY16" fmla="*/ 809625 h 1152527"/>
            <a:gd name="connsiteX17" fmla="*/ 95250 w 965447"/>
            <a:gd name="connsiteY17" fmla="*/ 847725 h 1152527"/>
            <a:gd name="connsiteX18" fmla="*/ 152400 w 965447"/>
            <a:gd name="connsiteY18" fmla="*/ 885825 h 1152527"/>
            <a:gd name="connsiteX19" fmla="*/ 171450 w 965447"/>
            <a:gd name="connsiteY19" fmla="*/ 914400 h 1152527"/>
            <a:gd name="connsiteX20" fmla="*/ 228600 w 965447"/>
            <a:gd name="connsiteY20" fmla="*/ 933450 h 1152527"/>
            <a:gd name="connsiteX21" fmla="*/ 285750 w 965447"/>
            <a:gd name="connsiteY21" fmla="*/ 952500 h 1152527"/>
            <a:gd name="connsiteX22" fmla="*/ 323850 w 965447"/>
            <a:gd name="connsiteY22" fmla="*/ 962025 h 1152527"/>
            <a:gd name="connsiteX23" fmla="*/ 381000 w 965447"/>
            <a:gd name="connsiteY23" fmla="*/ 981075 h 1152527"/>
            <a:gd name="connsiteX24" fmla="*/ 438150 w 965447"/>
            <a:gd name="connsiteY24" fmla="*/ 1028700 h 1152527"/>
            <a:gd name="connsiteX25" fmla="*/ 466725 w 965447"/>
            <a:gd name="connsiteY25" fmla="*/ 1057275 h 1152527"/>
            <a:gd name="connsiteX26" fmla="*/ 504825 w 965447"/>
            <a:gd name="connsiteY26" fmla="*/ 1085850 h 1152527"/>
            <a:gd name="connsiteX27" fmla="*/ 552450 w 965447"/>
            <a:gd name="connsiteY27" fmla="*/ 1133475 h 1152527"/>
            <a:gd name="connsiteX28" fmla="*/ 771525 w 965447"/>
            <a:gd name="connsiteY28" fmla="*/ 1143000 h 1152527"/>
            <a:gd name="connsiteX29" fmla="*/ 838200 w 965447"/>
            <a:gd name="connsiteY29" fmla="*/ 1152525 h 1152527"/>
            <a:gd name="connsiteX30" fmla="*/ 866775 w 965447"/>
            <a:gd name="connsiteY30" fmla="*/ 1143000 h 1152527"/>
            <a:gd name="connsiteX31" fmla="*/ 876300 w 965447"/>
            <a:gd name="connsiteY31" fmla="*/ 866775 h 1152527"/>
            <a:gd name="connsiteX32" fmla="*/ 895350 w 965447"/>
            <a:gd name="connsiteY32" fmla="*/ 714375 h 1152527"/>
            <a:gd name="connsiteX33" fmla="*/ 914400 w 965447"/>
            <a:gd name="connsiteY33" fmla="*/ 609600 h 1152527"/>
            <a:gd name="connsiteX34" fmla="*/ 923925 w 965447"/>
            <a:gd name="connsiteY34" fmla="*/ 352425 h 1152527"/>
            <a:gd name="connsiteX35" fmla="*/ 933450 w 965447"/>
            <a:gd name="connsiteY35" fmla="*/ 314325 h 1152527"/>
            <a:gd name="connsiteX36" fmla="*/ 942975 w 965447"/>
            <a:gd name="connsiteY36" fmla="*/ 257175 h 1152527"/>
            <a:gd name="connsiteX37" fmla="*/ 952500 w 965447"/>
            <a:gd name="connsiteY37" fmla="*/ 228600 h 1152527"/>
            <a:gd name="connsiteX38" fmla="*/ 962025 w 965447"/>
            <a:gd name="connsiteY38" fmla="*/ 180975 h 1152527"/>
            <a:gd name="connsiteX39" fmla="*/ 952500 w 965447"/>
            <a:gd name="connsiteY39" fmla="*/ 104775 h 1152527"/>
            <a:gd name="connsiteX40" fmla="*/ 704850 w 965447"/>
            <a:gd name="connsiteY40" fmla="*/ 95250 h 1152527"/>
            <a:gd name="connsiteX41" fmla="*/ 647700 w 965447"/>
            <a:gd name="connsiteY41" fmla="*/ 85725 h 1152527"/>
            <a:gd name="connsiteX42" fmla="*/ 581025 w 965447"/>
            <a:gd name="connsiteY42" fmla="*/ 76200 h 1152527"/>
            <a:gd name="connsiteX43" fmla="*/ 371475 w 965447"/>
            <a:gd name="connsiteY43" fmla="*/ 57150 h 1152527"/>
            <a:gd name="connsiteX44" fmla="*/ 323850 w 965447"/>
            <a:gd name="connsiteY44" fmla="*/ 47625 h 1152527"/>
            <a:gd name="connsiteX45" fmla="*/ 295275 w 965447"/>
            <a:gd name="connsiteY45" fmla="*/ 28575 h 1152527"/>
            <a:gd name="connsiteX46" fmla="*/ 266700 w 965447"/>
            <a:gd name="connsiteY46" fmla="*/ 19050 h 1152527"/>
            <a:gd name="connsiteX47" fmla="*/ 238125 w 965447"/>
            <a:gd name="connsiteY47" fmla="*/ 0 h 11525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Lst>
          <a:rect l="l" t="t" r="r" b="b"/>
          <a:pathLst>
            <a:path w="965447" h="1152527">
              <a:moveTo>
                <a:pt x="238125" y="0"/>
              </a:moveTo>
              <a:lnTo>
                <a:pt x="238125" y="0"/>
              </a:lnTo>
              <a:cubicBezTo>
                <a:pt x="214108" y="108075"/>
                <a:pt x="235312" y="61369"/>
                <a:pt x="180975" y="142875"/>
              </a:cubicBezTo>
              <a:cubicBezTo>
                <a:pt x="175406" y="151229"/>
                <a:pt x="161925" y="149225"/>
                <a:pt x="152400" y="152400"/>
              </a:cubicBezTo>
              <a:cubicBezTo>
                <a:pt x="142875" y="149225"/>
                <a:pt x="129394" y="134521"/>
                <a:pt x="123825" y="142875"/>
              </a:cubicBezTo>
              <a:cubicBezTo>
                <a:pt x="111372" y="161555"/>
                <a:pt x="118703" y="187535"/>
                <a:pt x="114300" y="209550"/>
              </a:cubicBezTo>
              <a:cubicBezTo>
                <a:pt x="109165" y="235223"/>
                <a:pt x="101600" y="260350"/>
                <a:pt x="95250" y="285750"/>
              </a:cubicBezTo>
              <a:cubicBezTo>
                <a:pt x="91323" y="301456"/>
                <a:pt x="88900" y="317500"/>
                <a:pt x="85725" y="333375"/>
              </a:cubicBezTo>
              <a:cubicBezTo>
                <a:pt x="88900" y="374650"/>
                <a:pt x="84715" y="417166"/>
                <a:pt x="95250" y="457200"/>
              </a:cubicBezTo>
              <a:cubicBezTo>
                <a:pt x="101077" y="479341"/>
                <a:pt x="133350" y="514350"/>
                <a:pt x="133350" y="514350"/>
              </a:cubicBezTo>
              <a:cubicBezTo>
                <a:pt x="118955" y="571931"/>
                <a:pt x="127965" y="540031"/>
                <a:pt x="104775" y="609600"/>
              </a:cubicBezTo>
              <a:cubicBezTo>
                <a:pt x="98668" y="627922"/>
                <a:pt x="100799" y="648252"/>
                <a:pt x="95250" y="666750"/>
              </a:cubicBezTo>
              <a:cubicBezTo>
                <a:pt x="91170" y="680350"/>
                <a:pt x="81793" y="691799"/>
                <a:pt x="76200" y="704850"/>
              </a:cubicBezTo>
              <a:cubicBezTo>
                <a:pt x="72245" y="714078"/>
                <a:pt x="71551" y="724648"/>
                <a:pt x="66675" y="733425"/>
              </a:cubicBezTo>
              <a:cubicBezTo>
                <a:pt x="55556" y="753439"/>
                <a:pt x="44764" y="774386"/>
                <a:pt x="28575" y="790575"/>
              </a:cubicBezTo>
              <a:cubicBezTo>
                <a:pt x="19050" y="800100"/>
                <a:pt x="0" y="805680"/>
                <a:pt x="0" y="819150"/>
              </a:cubicBezTo>
              <a:cubicBezTo>
                <a:pt x="0" y="829190"/>
                <a:pt x="19050" y="812800"/>
                <a:pt x="28575" y="809625"/>
              </a:cubicBezTo>
              <a:cubicBezTo>
                <a:pt x="95224" y="826287"/>
                <a:pt x="41489" y="805911"/>
                <a:pt x="95250" y="847725"/>
              </a:cubicBezTo>
              <a:cubicBezTo>
                <a:pt x="113322" y="861781"/>
                <a:pt x="152400" y="885825"/>
                <a:pt x="152400" y="885825"/>
              </a:cubicBezTo>
              <a:cubicBezTo>
                <a:pt x="158750" y="895350"/>
                <a:pt x="161742" y="908333"/>
                <a:pt x="171450" y="914400"/>
              </a:cubicBezTo>
              <a:cubicBezTo>
                <a:pt x="188478" y="925043"/>
                <a:pt x="209550" y="927100"/>
                <a:pt x="228600" y="933450"/>
              </a:cubicBezTo>
              <a:lnTo>
                <a:pt x="285750" y="952500"/>
              </a:lnTo>
              <a:cubicBezTo>
                <a:pt x="298169" y="956640"/>
                <a:pt x="311311" y="958263"/>
                <a:pt x="323850" y="962025"/>
              </a:cubicBezTo>
              <a:cubicBezTo>
                <a:pt x="343084" y="967795"/>
                <a:pt x="381000" y="981075"/>
                <a:pt x="381000" y="981075"/>
              </a:cubicBezTo>
              <a:cubicBezTo>
                <a:pt x="464482" y="1064557"/>
                <a:pt x="358584" y="962395"/>
                <a:pt x="438150" y="1028700"/>
              </a:cubicBezTo>
              <a:cubicBezTo>
                <a:pt x="448498" y="1037324"/>
                <a:pt x="456498" y="1048509"/>
                <a:pt x="466725" y="1057275"/>
              </a:cubicBezTo>
              <a:cubicBezTo>
                <a:pt x="478778" y="1067606"/>
                <a:pt x="493600" y="1074625"/>
                <a:pt x="504825" y="1085850"/>
              </a:cubicBezTo>
              <a:cubicBezTo>
                <a:pt x="520838" y="1101863"/>
                <a:pt x="523737" y="1130162"/>
                <a:pt x="552450" y="1133475"/>
              </a:cubicBezTo>
              <a:cubicBezTo>
                <a:pt x="625062" y="1141853"/>
                <a:pt x="698500" y="1139825"/>
                <a:pt x="771525" y="1143000"/>
              </a:cubicBezTo>
              <a:cubicBezTo>
                <a:pt x="793750" y="1146175"/>
                <a:pt x="815749" y="1152525"/>
                <a:pt x="838200" y="1152525"/>
              </a:cubicBezTo>
              <a:cubicBezTo>
                <a:pt x="848240" y="1152525"/>
                <a:pt x="865448" y="1152952"/>
                <a:pt x="866775" y="1143000"/>
              </a:cubicBezTo>
              <a:cubicBezTo>
                <a:pt x="878951" y="1051678"/>
                <a:pt x="870172" y="958701"/>
                <a:pt x="876300" y="866775"/>
              </a:cubicBezTo>
              <a:cubicBezTo>
                <a:pt x="879705" y="815693"/>
                <a:pt x="886934" y="764874"/>
                <a:pt x="895350" y="714375"/>
              </a:cubicBezTo>
              <a:cubicBezTo>
                <a:pt x="907537" y="641256"/>
                <a:pt x="901087" y="676163"/>
                <a:pt x="914400" y="609600"/>
              </a:cubicBezTo>
              <a:cubicBezTo>
                <a:pt x="917575" y="523875"/>
                <a:pt x="918402" y="438031"/>
                <a:pt x="923925" y="352425"/>
              </a:cubicBezTo>
              <a:cubicBezTo>
                <a:pt x="924768" y="339361"/>
                <a:pt x="930883" y="327162"/>
                <a:pt x="933450" y="314325"/>
              </a:cubicBezTo>
              <a:cubicBezTo>
                <a:pt x="937238" y="295387"/>
                <a:pt x="938785" y="276028"/>
                <a:pt x="942975" y="257175"/>
              </a:cubicBezTo>
              <a:cubicBezTo>
                <a:pt x="945153" y="247374"/>
                <a:pt x="950065" y="238340"/>
                <a:pt x="952500" y="228600"/>
              </a:cubicBezTo>
              <a:cubicBezTo>
                <a:pt x="956427" y="212894"/>
                <a:pt x="958850" y="196850"/>
                <a:pt x="962025" y="180975"/>
              </a:cubicBezTo>
              <a:cubicBezTo>
                <a:pt x="958850" y="155575"/>
                <a:pt x="976784" y="112870"/>
                <a:pt x="952500" y="104775"/>
              </a:cubicBezTo>
              <a:cubicBezTo>
                <a:pt x="874128" y="78651"/>
                <a:pt x="787300" y="100403"/>
                <a:pt x="704850" y="95250"/>
              </a:cubicBezTo>
              <a:cubicBezTo>
                <a:pt x="685575" y="94045"/>
                <a:pt x="666788" y="88662"/>
                <a:pt x="647700" y="85725"/>
              </a:cubicBezTo>
              <a:cubicBezTo>
                <a:pt x="625510" y="82311"/>
                <a:pt x="603352" y="78550"/>
                <a:pt x="581025" y="76200"/>
              </a:cubicBezTo>
              <a:cubicBezTo>
                <a:pt x="510442" y="68770"/>
                <a:pt x="441743" y="66519"/>
                <a:pt x="371475" y="57150"/>
              </a:cubicBezTo>
              <a:cubicBezTo>
                <a:pt x="355428" y="55010"/>
                <a:pt x="339725" y="50800"/>
                <a:pt x="323850" y="47625"/>
              </a:cubicBezTo>
              <a:cubicBezTo>
                <a:pt x="314325" y="41275"/>
                <a:pt x="305514" y="33695"/>
                <a:pt x="295275" y="28575"/>
              </a:cubicBezTo>
              <a:cubicBezTo>
                <a:pt x="286295" y="24085"/>
                <a:pt x="275680" y="23540"/>
                <a:pt x="266700" y="19050"/>
              </a:cubicBezTo>
              <a:cubicBezTo>
                <a:pt x="245159" y="8280"/>
                <a:pt x="242887" y="3175"/>
                <a:pt x="23812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211672</xdr:colOff>
      <xdr:row>92</xdr:row>
      <xdr:rowOff>58271</xdr:rowOff>
    </xdr:from>
    <xdr:to>
      <xdr:col>7</xdr:col>
      <xdr:colOff>28804</xdr:colOff>
      <xdr:row>96</xdr:row>
      <xdr:rowOff>163232</xdr:rowOff>
    </xdr:to>
    <xdr:sp macro="" textlink="">
      <xdr:nvSpPr>
        <xdr:cNvPr id="16" name="Colorado"/>
        <xdr:cNvSpPr/>
      </xdr:nvSpPr>
      <xdr:spPr>
        <a:xfrm>
          <a:off x="2764372" y="15387171"/>
          <a:ext cx="1036332" cy="765361"/>
        </a:xfrm>
        <a:custGeom>
          <a:avLst/>
          <a:gdLst>
            <a:gd name="connsiteX0" fmla="*/ 78790 w 1040815"/>
            <a:gd name="connsiteY0" fmla="*/ 28575 h 790575"/>
            <a:gd name="connsiteX1" fmla="*/ 78790 w 1040815"/>
            <a:gd name="connsiteY1" fmla="*/ 28575 h 790575"/>
            <a:gd name="connsiteX2" fmla="*/ 59740 w 1040815"/>
            <a:gd name="connsiteY2" fmla="*/ 295275 h 790575"/>
            <a:gd name="connsiteX3" fmla="*/ 40690 w 1040815"/>
            <a:gd name="connsiteY3" fmla="*/ 447675 h 790575"/>
            <a:gd name="connsiteX4" fmla="*/ 21640 w 1040815"/>
            <a:gd name="connsiteY4" fmla="*/ 533400 h 790575"/>
            <a:gd name="connsiteX5" fmla="*/ 2590 w 1040815"/>
            <a:gd name="connsiteY5" fmla="*/ 666750 h 790575"/>
            <a:gd name="connsiteX6" fmla="*/ 12115 w 1040815"/>
            <a:gd name="connsiteY6" fmla="*/ 742950 h 790575"/>
            <a:gd name="connsiteX7" fmla="*/ 154990 w 1040815"/>
            <a:gd name="connsiteY7" fmla="*/ 752475 h 790575"/>
            <a:gd name="connsiteX8" fmla="*/ 278815 w 1040815"/>
            <a:gd name="connsiteY8" fmla="*/ 771525 h 790575"/>
            <a:gd name="connsiteX9" fmla="*/ 316915 w 1040815"/>
            <a:gd name="connsiteY9" fmla="*/ 781050 h 790575"/>
            <a:gd name="connsiteX10" fmla="*/ 374065 w 1040815"/>
            <a:gd name="connsiteY10" fmla="*/ 790575 h 790575"/>
            <a:gd name="connsiteX11" fmla="*/ 726490 w 1040815"/>
            <a:gd name="connsiteY11" fmla="*/ 781050 h 790575"/>
            <a:gd name="connsiteX12" fmla="*/ 755065 w 1040815"/>
            <a:gd name="connsiteY12" fmla="*/ 771525 h 790575"/>
            <a:gd name="connsiteX13" fmla="*/ 869365 w 1040815"/>
            <a:gd name="connsiteY13" fmla="*/ 781050 h 790575"/>
            <a:gd name="connsiteX14" fmla="*/ 993190 w 1040815"/>
            <a:gd name="connsiteY14" fmla="*/ 771525 h 790575"/>
            <a:gd name="connsiteX15" fmla="*/ 1021765 w 1040815"/>
            <a:gd name="connsiteY15" fmla="*/ 762000 h 790575"/>
            <a:gd name="connsiteX16" fmla="*/ 1031290 w 1040815"/>
            <a:gd name="connsiteY16" fmla="*/ 704850 h 790575"/>
            <a:gd name="connsiteX17" fmla="*/ 1040815 w 1040815"/>
            <a:gd name="connsiteY17" fmla="*/ 638175 h 790575"/>
            <a:gd name="connsiteX18" fmla="*/ 1031290 w 1040815"/>
            <a:gd name="connsiteY18" fmla="*/ 95250 h 790575"/>
            <a:gd name="connsiteX19" fmla="*/ 1021765 w 1040815"/>
            <a:gd name="connsiteY19" fmla="*/ 57150 h 790575"/>
            <a:gd name="connsiteX20" fmla="*/ 840790 w 1040815"/>
            <a:gd name="connsiteY20" fmla="*/ 47625 h 790575"/>
            <a:gd name="connsiteX21" fmla="*/ 764590 w 1040815"/>
            <a:gd name="connsiteY21" fmla="*/ 28575 h 790575"/>
            <a:gd name="connsiteX22" fmla="*/ 736015 w 1040815"/>
            <a:gd name="connsiteY22" fmla="*/ 19050 h 790575"/>
            <a:gd name="connsiteX23" fmla="*/ 555040 w 1040815"/>
            <a:gd name="connsiteY23" fmla="*/ 0 h 790575"/>
            <a:gd name="connsiteX24" fmla="*/ 421690 w 1040815"/>
            <a:gd name="connsiteY24" fmla="*/ 9525 h 790575"/>
            <a:gd name="connsiteX25" fmla="*/ 78790 w 1040815"/>
            <a:gd name="connsiteY25" fmla="*/ 28575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1040815" h="790575">
              <a:moveTo>
                <a:pt x="78790" y="28575"/>
              </a:moveTo>
              <a:lnTo>
                <a:pt x="78790" y="28575"/>
              </a:lnTo>
              <a:cubicBezTo>
                <a:pt x="72764" y="131020"/>
                <a:pt x="70555" y="197939"/>
                <a:pt x="59740" y="295275"/>
              </a:cubicBezTo>
              <a:cubicBezTo>
                <a:pt x="54086" y="346157"/>
                <a:pt x="53107" y="398008"/>
                <a:pt x="40690" y="447675"/>
              </a:cubicBezTo>
              <a:cubicBezTo>
                <a:pt x="32826" y="479131"/>
                <a:pt x="26822" y="500578"/>
                <a:pt x="21640" y="533400"/>
              </a:cubicBezTo>
              <a:cubicBezTo>
                <a:pt x="14637" y="577752"/>
                <a:pt x="2590" y="666750"/>
                <a:pt x="2590" y="666750"/>
              </a:cubicBezTo>
              <a:cubicBezTo>
                <a:pt x="5765" y="692150"/>
                <a:pt x="-10195" y="730400"/>
                <a:pt x="12115" y="742950"/>
              </a:cubicBezTo>
              <a:cubicBezTo>
                <a:pt x="53716" y="766351"/>
                <a:pt x="107439" y="748340"/>
                <a:pt x="154990" y="752475"/>
              </a:cubicBezTo>
              <a:cubicBezTo>
                <a:pt x="202414" y="756599"/>
                <a:pt x="234449" y="761666"/>
                <a:pt x="278815" y="771525"/>
              </a:cubicBezTo>
              <a:cubicBezTo>
                <a:pt x="291594" y="774365"/>
                <a:pt x="304078" y="778483"/>
                <a:pt x="316915" y="781050"/>
              </a:cubicBezTo>
              <a:cubicBezTo>
                <a:pt x="335853" y="784838"/>
                <a:pt x="355015" y="787400"/>
                <a:pt x="374065" y="790575"/>
              </a:cubicBezTo>
              <a:cubicBezTo>
                <a:pt x="491540" y="787400"/>
                <a:pt x="609119" y="786919"/>
                <a:pt x="726490" y="781050"/>
              </a:cubicBezTo>
              <a:cubicBezTo>
                <a:pt x="736518" y="780549"/>
                <a:pt x="745025" y="771525"/>
                <a:pt x="755065" y="771525"/>
              </a:cubicBezTo>
              <a:cubicBezTo>
                <a:pt x="793297" y="771525"/>
                <a:pt x="831265" y="777875"/>
                <a:pt x="869365" y="781050"/>
              </a:cubicBezTo>
              <a:cubicBezTo>
                <a:pt x="910640" y="777875"/>
                <a:pt x="952113" y="776660"/>
                <a:pt x="993190" y="771525"/>
              </a:cubicBezTo>
              <a:cubicBezTo>
                <a:pt x="1003153" y="770280"/>
                <a:pt x="1016784" y="770717"/>
                <a:pt x="1021765" y="762000"/>
              </a:cubicBezTo>
              <a:cubicBezTo>
                <a:pt x="1031347" y="745232"/>
                <a:pt x="1028353" y="723938"/>
                <a:pt x="1031290" y="704850"/>
              </a:cubicBezTo>
              <a:cubicBezTo>
                <a:pt x="1034704" y="682660"/>
                <a:pt x="1037640" y="660400"/>
                <a:pt x="1040815" y="638175"/>
              </a:cubicBezTo>
              <a:cubicBezTo>
                <a:pt x="1037640" y="457200"/>
                <a:pt x="1037221" y="276156"/>
                <a:pt x="1031290" y="95250"/>
              </a:cubicBezTo>
              <a:cubicBezTo>
                <a:pt x="1030861" y="82166"/>
                <a:pt x="1034465" y="60325"/>
                <a:pt x="1021765" y="57150"/>
              </a:cubicBezTo>
              <a:cubicBezTo>
                <a:pt x="963160" y="42499"/>
                <a:pt x="901115" y="50800"/>
                <a:pt x="840790" y="47625"/>
              </a:cubicBezTo>
              <a:lnTo>
                <a:pt x="764590" y="28575"/>
              </a:lnTo>
              <a:cubicBezTo>
                <a:pt x="754850" y="26140"/>
                <a:pt x="745816" y="21228"/>
                <a:pt x="736015" y="19050"/>
              </a:cubicBezTo>
              <a:cubicBezTo>
                <a:pt x="675496" y="5601"/>
                <a:pt x="617816" y="4829"/>
                <a:pt x="555040" y="0"/>
              </a:cubicBezTo>
              <a:cubicBezTo>
                <a:pt x="510590" y="3175"/>
                <a:pt x="466213" y="7630"/>
                <a:pt x="421690" y="9525"/>
              </a:cubicBezTo>
              <a:cubicBezTo>
                <a:pt x="191073" y="19339"/>
                <a:pt x="135940" y="25400"/>
                <a:pt x="78790" y="285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93907</xdr:colOff>
      <xdr:row>96</xdr:row>
      <xdr:rowOff>99919</xdr:rowOff>
    </xdr:from>
    <xdr:to>
      <xdr:col>6</xdr:col>
      <xdr:colOff>490135</xdr:colOff>
      <xdr:row>102</xdr:row>
      <xdr:rowOff>159871</xdr:rowOff>
    </xdr:to>
    <xdr:sp macro="" textlink="">
      <xdr:nvSpPr>
        <xdr:cNvPr id="17" name="New_Mexico"/>
        <xdr:cNvSpPr/>
      </xdr:nvSpPr>
      <xdr:spPr>
        <a:xfrm>
          <a:off x="2646607" y="16089219"/>
          <a:ext cx="1005828" cy="1050552"/>
        </a:xfrm>
        <a:custGeom>
          <a:avLst/>
          <a:gdLst>
            <a:gd name="connsiteX0" fmla="*/ 120355 w 1010311"/>
            <a:gd name="connsiteY0" fmla="*/ 0 h 1085850"/>
            <a:gd name="connsiteX1" fmla="*/ 120355 w 1010311"/>
            <a:gd name="connsiteY1" fmla="*/ 0 h 1085850"/>
            <a:gd name="connsiteX2" fmla="*/ 110830 w 1010311"/>
            <a:gd name="connsiteY2" fmla="*/ 85725 h 1085850"/>
            <a:gd name="connsiteX3" fmla="*/ 101305 w 1010311"/>
            <a:gd name="connsiteY3" fmla="*/ 114300 h 1085850"/>
            <a:gd name="connsiteX4" fmla="*/ 91780 w 1010311"/>
            <a:gd name="connsiteY4" fmla="*/ 190500 h 1085850"/>
            <a:gd name="connsiteX5" fmla="*/ 82255 w 1010311"/>
            <a:gd name="connsiteY5" fmla="*/ 247650 h 1085850"/>
            <a:gd name="connsiteX6" fmla="*/ 63205 w 1010311"/>
            <a:gd name="connsiteY6" fmla="*/ 304800 h 1085850"/>
            <a:gd name="connsiteX7" fmla="*/ 44155 w 1010311"/>
            <a:gd name="connsiteY7" fmla="*/ 704850 h 1085850"/>
            <a:gd name="connsiteX8" fmla="*/ 34630 w 1010311"/>
            <a:gd name="connsiteY8" fmla="*/ 733425 h 1085850"/>
            <a:gd name="connsiteX9" fmla="*/ 15580 w 1010311"/>
            <a:gd name="connsiteY9" fmla="*/ 809625 h 1085850"/>
            <a:gd name="connsiteX10" fmla="*/ 101305 w 1010311"/>
            <a:gd name="connsiteY10" fmla="*/ 1085850 h 1085850"/>
            <a:gd name="connsiteX11" fmla="*/ 148930 w 1010311"/>
            <a:gd name="connsiteY11" fmla="*/ 1076325 h 1085850"/>
            <a:gd name="connsiteX12" fmla="*/ 167980 w 1010311"/>
            <a:gd name="connsiteY12" fmla="*/ 1019175 h 1085850"/>
            <a:gd name="connsiteX13" fmla="*/ 225130 w 1010311"/>
            <a:gd name="connsiteY13" fmla="*/ 981075 h 1085850"/>
            <a:gd name="connsiteX14" fmla="*/ 425155 w 1010311"/>
            <a:gd name="connsiteY14" fmla="*/ 990600 h 1085850"/>
            <a:gd name="connsiteX15" fmla="*/ 444205 w 1010311"/>
            <a:gd name="connsiteY15" fmla="*/ 962025 h 1085850"/>
            <a:gd name="connsiteX16" fmla="*/ 958555 w 1010311"/>
            <a:gd name="connsiteY16" fmla="*/ 942975 h 1085850"/>
            <a:gd name="connsiteX17" fmla="*/ 968080 w 1010311"/>
            <a:gd name="connsiteY17" fmla="*/ 838200 h 1085850"/>
            <a:gd name="connsiteX18" fmla="*/ 977605 w 1010311"/>
            <a:gd name="connsiteY18" fmla="*/ 790575 h 1085850"/>
            <a:gd name="connsiteX19" fmla="*/ 996655 w 1010311"/>
            <a:gd name="connsiteY19" fmla="*/ 219075 h 1085850"/>
            <a:gd name="connsiteX20" fmla="*/ 1006180 w 1010311"/>
            <a:gd name="connsiteY20" fmla="*/ 171450 h 1085850"/>
            <a:gd name="connsiteX21" fmla="*/ 996655 w 1010311"/>
            <a:gd name="connsiteY21" fmla="*/ 66675 h 1085850"/>
            <a:gd name="connsiteX22" fmla="*/ 901405 w 1010311"/>
            <a:gd name="connsiteY22" fmla="*/ 76200 h 1085850"/>
            <a:gd name="connsiteX23" fmla="*/ 691855 w 1010311"/>
            <a:gd name="connsiteY23" fmla="*/ 66675 h 1085850"/>
            <a:gd name="connsiteX24" fmla="*/ 539455 w 1010311"/>
            <a:gd name="connsiteY24" fmla="*/ 76200 h 1085850"/>
            <a:gd name="connsiteX25" fmla="*/ 501355 w 1010311"/>
            <a:gd name="connsiteY25" fmla="*/ 85725 h 1085850"/>
            <a:gd name="connsiteX26" fmla="*/ 463255 w 1010311"/>
            <a:gd name="connsiteY26" fmla="*/ 76200 h 1085850"/>
            <a:gd name="connsiteX27" fmla="*/ 396580 w 1010311"/>
            <a:gd name="connsiteY27" fmla="*/ 57150 h 1085850"/>
            <a:gd name="connsiteX28" fmla="*/ 368005 w 1010311"/>
            <a:gd name="connsiteY28" fmla="*/ 38100 h 1085850"/>
            <a:gd name="connsiteX29" fmla="*/ 310855 w 1010311"/>
            <a:gd name="connsiteY29" fmla="*/ 9525 h 1085850"/>
            <a:gd name="connsiteX30" fmla="*/ 129880 w 1010311"/>
            <a:gd name="connsiteY30" fmla="*/ 9525 h 1085850"/>
            <a:gd name="connsiteX31" fmla="*/ 120355 w 1010311"/>
            <a:gd name="connsiteY31" fmla="*/ 0 h 10858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1010311" h="1085850">
              <a:moveTo>
                <a:pt x="120355" y="0"/>
              </a:moveTo>
              <a:lnTo>
                <a:pt x="120355" y="0"/>
              </a:lnTo>
              <a:cubicBezTo>
                <a:pt x="117180" y="28575"/>
                <a:pt x="115557" y="57365"/>
                <a:pt x="110830" y="85725"/>
              </a:cubicBezTo>
              <a:cubicBezTo>
                <a:pt x="109179" y="95629"/>
                <a:pt x="103101" y="104422"/>
                <a:pt x="101305" y="114300"/>
              </a:cubicBezTo>
              <a:cubicBezTo>
                <a:pt x="96726" y="139485"/>
                <a:pt x="95400" y="165160"/>
                <a:pt x="91780" y="190500"/>
              </a:cubicBezTo>
              <a:cubicBezTo>
                <a:pt x="89049" y="209619"/>
                <a:pt x="86939" y="228914"/>
                <a:pt x="82255" y="247650"/>
              </a:cubicBezTo>
              <a:cubicBezTo>
                <a:pt x="77385" y="267131"/>
                <a:pt x="63205" y="304800"/>
                <a:pt x="63205" y="304800"/>
              </a:cubicBezTo>
              <a:cubicBezTo>
                <a:pt x="37352" y="537477"/>
                <a:pt x="71877" y="205850"/>
                <a:pt x="44155" y="704850"/>
              </a:cubicBezTo>
              <a:cubicBezTo>
                <a:pt x="43598" y="714875"/>
                <a:pt x="37272" y="723739"/>
                <a:pt x="34630" y="733425"/>
              </a:cubicBezTo>
              <a:cubicBezTo>
                <a:pt x="27741" y="758684"/>
                <a:pt x="15580" y="809625"/>
                <a:pt x="15580" y="809625"/>
              </a:cubicBezTo>
              <a:cubicBezTo>
                <a:pt x="23467" y="1030461"/>
                <a:pt x="-62431" y="1085850"/>
                <a:pt x="101305" y="1085850"/>
              </a:cubicBezTo>
              <a:cubicBezTo>
                <a:pt x="117494" y="1085850"/>
                <a:pt x="133055" y="1079500"/>
                <a:pt x="148930" y="1076325"/>
              </a:cubicBezTo>
              <a:lnTo>
                <a:pt x="167980" y="1019175"/>
              </a:lnTo>
              <a:cubicBezTo>
                <a:pt x="182625" y="975241"/>
                <a:pt x="167660" y="992569"/>
                <a:pt x="225130" y="981075"/>
              </a:cubicBezTo>
              <a:cubicBezTo>
                <a:pt x="291805" y="984250"/>
                <a:pt x="358655" y="996383"/>
                <a:pt x="425155" y="990600"/>
              </a:cubicBezTo>
              <a:cubicBezTo>
                <a:pt x="436560" y="989608"/>
                <a:pt x="432803" y="963043"/>
                <a:pt x="444205" y="962025"/>
              </a:cubicBezTo>
              <a:cubicBezTo>
                <a:pt x="615093" y="946767"/>
                <a:pt x="787105" y="949325"/>
                <a:pt x="958555" y="942975"/>
              </a:cubicBezTo>
              <a:cubicBezTo>
                <a:pt x="961730" y="908050"/>
                <a:pt x="963730" y="872998"/>
                <a:pt x="968080" y="838200"/>
              </a:cubicBezTo>
              <a:cubicBezTo>
                <a:pt x="970088" y="822136"/>
                <a:pt x="977006" y="806753"/>
                <a:pt x="977605" y="790575"/>
              </a:cubicBezTo>
              <a:cubicBezTo>
                <a:pt x="983160" y="640602"/>
                <a:pt x="974098" y="399531"/>
                <a:pt x="996655" y="219075"/>
              </a:cubicBezTo>
              <a:cubicBezTo>
                <a:pt x="998663" y="203011"/>
                <a:pt x="1003005" y="187325"/>
                <a:pt x="1006180" y="171450"/>
              </a:cubicBezTo>
              <a:cubicBezTo>
                <a:pt x="1003005" y="136525"/>
                <a:pt x="1022604" y="90265"/>
                <a:pt x="996655" y="66675"/>
              </a:cubicBezTo>
              <a:cubicBezTo>
                <a:pt x="973045" y="45211"/>
                <a:pt x="933313" y="76200"/>
                <a:pt x="901405" y="76200"/>
              </a:cubicBezTo>
              <a:cubicBezTo>
                <a:pt x="831483" y="76200"/>
                <a:pt x="761705" y="69850"/>
                <a:pt x="691855" y="66675"/>
              </a:cubicBezTo>
              <a:cubicBezTo>
                <a:pt x="641055" y="69850"/>
                <a:pt x="590102" y="71135"/>
                <a:pt x="539455" y="76200"/>
              </a:cubicBezTo>
              <a:cubicBezTo>
                <a:pt x="526429" y="77503"/>
                <a:pt x="514446" y="85725"/>
                <a:pt x="501355" y="85725"/>
              </a:cubicBezTo>
              <a:cubicBezTo>
                <a:pt x="488264" y="85725"/>
                <a:pt x="475842" y="79796"/>
                <a:pt x="463255" y="76200"/>
              </a:cubicBezTo>
              <a:cubicBezTo>
                <a:pt x="367602" y="48871"/>
                <a:pt x="515687" y="86927"/>
                <a:pt x="396580" y="57150"/>
              </a:cubicBezTo>
              <a:cubicBezTo>
                <a:pt x="387055" y="50800"/>
                <a:pt x="378244" y="43220"/>
                <a:pt x="368005" y="38100"/>
              </a:cubicBezTo>
              <a:cubicBezTo>
                <a:pt x="289135" y="-1335"/>
                <a:pt x="392747" y="64120"/>
                <a:pt x="310855" y="9525"/>
              </a:cubicBezTo>
              <a:cubicBezTo>
                <a:pt x="237911" y="33840"/>
                <a:pt x="272439" y="26297"/>
                <a:pt x="129880" y="9525"/>
              </a:cubicBezTo>
              <a:cubicBezTo>
                <a:pt x="125421" y="9000"/>
                <a:pt x="121942" y="1587"/>
                <a:pt x="12035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419329</xdr:colOff>
      <xdr:row>83</xdr:row>
      <xdr:rowOff>141754</xdr:rowOff>
    </xdr:from>
    <xdr:to>
      <xdr:col>8</xdr:col>
      <xdr:colOff>115090</xdr:colOff>
      <xdr:row>87</xdr:row>
      <xdr:rowOff>37727</xdr:rowOff>
    </xdr:to>
    <xdr:sp macro="" textlink="">
      <xdr:nvSpPr>
        <xdr:cNvPr id="18" name="North_Dakota"/>
        <xdr:cNvSpPr/>
      </xdr:nvSpPr>
      <xdr:spPr>
        <a:xfrm>
          <a:off x="3581629" y="13984754"/>
          <a:ext cx="914961" cy="556373"/>
        </a:xfrm>
        <a:custGeom>
          <a:avLst/>
          <a:gdLst>
            <a:gd name="connsiteX0" fmla="*/ 47625 w 923925"/>
            <a:gd name="connsiteY0" fmla="*/ 0 h 571500"/>
            <a:gd name="connsiteX1" fmla="*/ 0 w 923925"/>
            <a:gd name="connsiteY1" fmla="*/ 571500 h 571500"/>
            <a:gd name="connsiteX2" fmla="*/ 923925 w 923925"/>
            <a:gd name="connsiteY2" fmla="*/ 571500 h 571500"/>
            <a:gd name="connsiteX3" fmla="*/ 819150 w 923925"/>
            <a:gd name="connsiteY3" fmla="*/ 0 h 571500"/>
            <a:gd name="connsiteX4" fmla="*/ 47625 w 923925"/>
            <a:gd name="connsiteY4" fmla="*/ 0 h 571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3925" h="571500">
              <a:moveTo>
                <a:pt x="47625" y="0"/>
              </a:moveTo>
              <a:lnTo>
                <a:pt x="0" y="571500"/>
              </a:lnTo>
              <a:lnTo>
                <a:pt x="923925" y="571500"/>
              </a:lnTo>
              <a:lnTo>
                <a:pt x="819150" y="0"/>
              </a:lnTo>
              <a:lnTo>
                <a:pt x="476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390754</xdr:colOff>
      <xdr:row>87</xdr:row>
      <xdr:rowOff>37727</xdr:rowOff>
    </xdr:from>
    <xdr:to>
      <xdr:col>8</xdr:col>
      <xdr:colOff>172985</xdr:colOff>
      <xdr:row>90</xdr:row>
      <xdr:rowOff>141381</xdr:rowOff>
    </xdr:to>
    <xdr:sp macro="" textlink="">
      <xdr:nvSpPr>
        <xdr:cNvPr id="19" name="South_Dakota"/>
        <xdr:cNvSpPr/>
      </xdr:nvSpPr>
      <xdr:spPr>
        <a:xfrm>
          <a:off x="3553054" y="14541127"/>
          <a:ext cx="1001431" cy="598954"/>
        </a:xfrm>
        <a:custGeom>
          <a:avLst/>
          <a:gdLst>
            <a:gd name="connsiteX0" fmla="*/ 28575 w 1010395"/>
            <a:gd name="connsiteY0" fmla="*/ 19050 h 619125"/>
            <a:gd name="connsiteX1" fmla="*/ 0 w 1010395"/>
            <a:gd name="connsiteY1" fmla="*/ 552450 h 619125"/>
            <a:gd name="connsiteX2" fmla="*/ 714375 w 1010395"/>
            <a:gd name="connsiteY2" fmla="*/ 552450 h 619125"/>
            <a:gd name="connsiteX3" fmla="*/ 819150 w 1010395"/>
            <a:gd name="connsiteY3" fmla="*/ 609600 h 619125"/>
            <a:gd name="connsiteX4" fmla="*/ 857250 w 1010395"/>
            <a:gd name="connsiteY4" fmla="*/ 600075 h 619125"/>
            <a:gd name="connsiteX5" fmla="*/ 885825 w 1010395"/>
            <a:gd name="connsiteY5" fmla="*/ 581025 h 619125"/>
            <a:gd name="connsiteX6" fmla="*/ 942975 w 1010395"/>
            <a:gd name="connsiteY6" fmla="*/ 609600 h 619125"/>
            <a:gd name="connsiteX7" fmla="*/ 990600 w 1010395"/>
            <a:gd name="connsiteY7" fmla="*/ 619125 h 619125"/>
            <a:gd name="connsiteX8" fmla="*/ 990600 w 1010395"/>
            <a:gd name="connsiteY8" fmla="*/ 542925 h 619125"/>
            <a:gd name="connsiteX9" fmla="*/ 971550 w 1010395"/>
            <a:gd name="connsiteY9" fmla="*/ 485775 h 619125"/>
            <a:gd name="connsiteX10" fmla="*/ 1000125 w 1010395"/>
            <a:gd name="connsiteY10" fmla="*/ 400050 h 619125"/>
            <a:gd name="connsiteX11" fmla="*/ 1009650 w 1010395"/>
            <a:gd name="connsiteY11" fmla="*/ 371475 h 619125"/>
            <a:gd name="connsiteX12" fmla="*/ 981075 w 1010395"/>
            <a:gd name="connsiteY12" fmla="*/ 114300 h 619125"/>
            <a:gd name="connsiteX13" fmla="*/ 962025 w 1010395"/>
            <a:gd name="connsiteY13" fmla="*/ 85725 h 619125"/>
            <a:gd name="connsiteX14" fmla="*/ 952500 w 1010395"/>
            <a:gd name="connsiteY14" fmla="*/ 0 h 619125"/>
            <a:gd name="connsiteX15" fmla="*/ 28575 w 1010395"/>
            <a:gd name="connsiteY15" fmla="*/ 19050 h 6191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010395" h="619125">
              <a:moveTo>
                <a:pt x="28575" y="19050"/>
              </a:moveTo>
              <a:lnTo>
                <a:pt x="0" y="552450"/>
              </a:lnTo>
              <a:lnTo>
                <a:pt x="714375" y="552450"/>
              </a:lnTo>
              <a:cubicBezTo>
                <a:pt x="744532" y="573991"/>
                <a:pt x="777162" y="609600"/>
                <a:pt x="819150" y="609600"/>
              </a:cubicBezTo>
              <a:cubicBezTo>
                <a:pt x="832241" y="609600"/>
                <a:pt x="844550" y="603250"/>
                <a:pt x="857250" y="600075"/>
              </a:cubicBezTo>
              <a:cubicBezTo>
                <a:pt x="866775" y="593725"/>
                <a:pt x="874533" y="582907"/>
                <a:pt x="885825" y="581025"/>
              </a:cubicBezTo>
              <a:cubicBezTo>
                <a:pt x="906299" y="577613"/>
                <a:pt x="927666" y="603859"/>
                <a:pt x="942975" y="609600"/>
              </a:cubicBezTo>
              <a:cubicBezTo>
                <a:pt x="958134" y="615284"/>
                <a:pt x="974725" y="615950"/>
                <a:pt x="990600" y="619125"/>
              </a:cubicBezTo>
              <a:cubicBezTo>
                <a:pt x="1020052" y="574947"/>
                <a:pt x="1012531" y="603235"/>
                <a:pt x="990600" y="542925"/>
              </a:cubicBezTo>
              <a:cubicBezTo>
                <a:pt x="983738" y="524054"/>
                <a:pt x="971550" y="485775"/>
                <a:pt x="971550" y="485775"/>
              </a:cubicBezTo>
              <a:lnTo>
                <a:pt x="1000125" y="400050"/>
              </a:lnTo>
              <a:lnTo>
                <a:pt x="1009650" y="371475"/>
              </a:lnTo>
              <a:cubicBezTo>
                <a:pt x="1009439" y="367034"/>
                <a:pt x="1018144" y="169904"/>
                <a:pt x="981075" y="114300"/>
              </a:cubicBezTo>
              <a:lnTo>
                <a:pt x="962025" y="85725"/>
              </a:lnTo>
              <a:cubicBezTo>
                <a:pt x="951602" y="12764"/>
                <a:pt x="952500" y="41501"/>
                <a:pt x="952500" y="0"/>
              </a:cubicBezTo>
              <a:lnTo>
                <a:pt x="28575"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381229</xdr:colOff>
      <xdr:row>90</xdr:row>
      <xdr:rowOff>84231</xdr:rowOff>
    </xdr:from>
    <xdr:to>
      <xdr:col>8</xdr:col>
      <xdr:colOff>343690</xdr:colOff>
      <xdr:row>93</xdr:row>
      <xdr:rowOff>107203</xdr:rowOff>
    </xdr:to>
    <xdr:sp macro="" textlink="">
      <xdr:nvSpPr>
        <xdr:cNvPr id="20" name="Nebraska"/>
        <xdr:cNvSpPr/>
      </xdr:nvSpPr>
      <xdr:spPr>
        <a:xfrm>
          <a:off x="3543529" y="15082931"/>
          <a:ext cx="1181661" cy="518272"/>
        </a:xfrm>
        <a:custGeom>
          <a:avLst/>
          <a:gdLst>
            <a:gd name="connsiteX0" fmla="*/ 9525 w 1190625"/>
            <a:gd name="connsiteY0" fmla="*/ 9525 h 533400"/>
            <a:gd name="connsiteX1" fmla="*/ 0 w 1190625"/>
            <a:gd name="connsiteY1" fmla="*/ 352425 h 533400"/>
            <a:gd name="connsiteX2" fmla="*/ 238125 w 1190625"/>
            <a:gd name="connsiteY2" fmla="*/ 361950 h 533400"/>
            <a:gd name="connsiteX3" fmla="*/ 266700 w 1190625"/>
            <a:gd name="connsiteY3" fmla="*/ 533400 h 533400"/>
            <a:gd name="connsiteX4" fmla="*/ 1190625 w 1190625"/>
            <a:gd name="connsiteY4" fmla="*/ 514350 h 533400"/>
            <a:gd name="connsiteX5" fmla="*/ 1133475 w 1190625"/>
            <a:gd name="connsiteY5" fmla="*/ 400050 h 533400"/>
            <a:gd name="connsiteX6" fmla="*/ 1114425 w 1190625"/>
            <a:gd name="connsiteY6" fmla="*/ 342900 h 533400"/>
            <a:gd name="connsiteX7" fmla="*/ 1085850 w 1190625"/>
            <a:gd name="connsiteY7" fmla="*/ 219075 h 533400"/>
            <a:gd name="connsiteX8" fmla="*/ 1047750 w 1190625"/>
            <a:gd name="connsiteY8" fmla="*/ 161925 h 533400"/>
            <a:gd name="connsiteX9" fmla="*/ 1028700 w 1190625"/>
            <a:gd name="connsiteY9" fmla="*/ 104775 h 533400"/>
            <a:gd name="connsiteX10" fmla="*/ 1019175 w 1190625"/>
            <a:gd name="connsiteY10" fmla="*/ 76200 h 533400"/>
            <a:gd name="connsiteX11" fmla="*/ 990600 w 1190625"/>
            <a:gd name="connsiteY11" fmla="*/ 66675 h 533400"/>
            <a:gd name="connsiteX12" fmla="*/ 904875 w 1190625"/>
            <a:gd name="connsiteY12" fmla="*/ 19050 h 533400"/>
            <a:gd name="connsiteX13" fmla="*/ 866775 w 1190625"/>
            <a:gd name="connsiteY13" fmla="*/ 28575 h 533400"/>
            <a:gd name="connsiteX14" fmla="*/ 838200 w 1190625"/>
            <a:gd name="connsiteY14" fmla="*/ 47625 h 533400"/>
            <a:gd name="connsiteX15" fmla="*/ 781050 w 1190625"/>
            <a:gd name="connsiteY15" fmla="*/ 38100 h 533400"/>
            <a:gd name="connsiteX16" fmla="*/ 742950 w 1190625"/>
            <a:gd name="connsiteY16" fmla="*/ 0 h 533400"/>
            <a:gd name="connsiteX17" fmla="*/ 9525 w 1190625"/>
            <a:gd name="connsiteY17" fmla="*/ 9525 h 533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Lst>
          <a:rect l="l" t="t" r="r" b="b"/>
          <a:pathLst>
            <a:path w="1190625" h="533400">
              <a:moveTo>
                <a:pt x="9525" y="9525"/>
              </a:moveTo>
              <a:lnTo>
                <a:pt x="0" y="352425"/>
              </a:lnTo>
              <a:lnTo>
                <a:pt x="238125" y="361950"/>
              </a:lnTo>
              <a:lnTo>
                <a:pt x="266700" y="533400"/>
              </a:lnTo>
              <a:lnTo>
                <a:pt x="1190625" y="514350"/>
              </a:lnTo>
              <a:cubicBezTo>
                <a:pt x="1118822" y="413826"/>
                <a:pt x="1157110" y="486712"/>
                <a:pt x="1133475" y="400050"/>
              </a:cubicBezTo>
              <a:cubicBezTo>
                <a:pt x="1128191" y="380677"/>
                <a:pt x="1114425" y="342900"/>
                <a:pt x="1114425" y="342900"/>
              </a:cubicBezTo>
              <a:cubicBezTo>
                <a:pt x="1102060" y="256346"/>
                <a:pt x="1112000" y="297524"/>
                <a:pt x="1085850" y="219075"/>
              </a:cubicBezTo>
              <a:cubicBezTo>
                <a:pt x="1078610" y="197355"/>
                <a:pt x="1054990" y="183645"/>
                <a:pt x="1047750" y="161925"/>
              </a:cubicBezTo>
              <a:lnTo>
                <a:pt x="1028700" y="104775"/>
              </a:lnTo>
              <a:cubicBezTo>
                <a:pt x="1025525" y="95250"/>
                <a:pt x="1028700" y="79375"/>
                <a:pt x="1019175" y="76200"/>
              </a:cubicBezTo>
              <a:lnTo>
                <a:pt x="990600" y="66675"/>
              </a:lnTo>
              <a:cubicBezTo>
                <a:pt x="925096" y="23006"/>
                <a:pt x="955170" y="35815"/>
                <a:pt x="904875" y="19050"/>
              </a:cubicBezTo>
              <a:cubicBezTo>
                <a:pt x="892175" y="22225"/>
                <a:pt x="878807" y="23418"/>
                <a:pt x="866775" y="28575"/>
              </a:cubicBezTo>
              <a:cubicBezTo>
                <a:pt x="856253" y="33084"/>
                <a:pt x="849578" y="46361"/>
                <a:pt x="838200" y="47625"/>
              </a:cubicBezTo>
              <a:cubicBezTo>
                <a:pt x="819005" y="49758"/>
                <a:pt x="800100" y="41275"/>
                <a:pt x="781050" y="38100"/>
              </a:cubicBezTo>
              <a:cubicBezTo>
                <a:pt x="746568" y="15112"/>
                <a:pt x="757595" y="29289"/>
                <a:pt x="74295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19279</xdr:colOff>
      <xdr:row>93</xdr:row>
      <xdr:rowOff>107203</xdr:rowOff>
    </xdr:from>
    <xdr:to>
      <xdr:col>8</xdr:col>
      <xdr:colOff>505615</xdr:colOff>
      <xdr:row>97</xdr:row>
      <xdr:rowOff>7657</xdr:rowOff>
    </xdr:to>
    <xdr:sp macro="" textlink="">
      <xdr:nvSpPr>
        <xdr:cNvPr id="21" name="Kansas"/>
        <xdr:cNvSpPr/>
      </xdr:nvSpPr>
      <xdr:spPr>
        <a:xfrm>
          <a:off x="3791179" y="15601203"/>
          <a:ext cx="1095936" cy="560854"/>
        </a:xfrm>
        <a:custGeom>
          <a:avLst/>
          <a:gdLst>
            <a:gd name="connsiteX0" fmla="*/ 9525 w 1104900"/>
            <a:gd name="connsiteY0" fmla="*/ 9525 h 581025"/>
            <a:gd name="connsiteX1" fmla="*/ 0 w 1104900"/>
            <a:gd name="connsiteY1" fmla="*/ 581025 h 581025"/>
            <a:gd name="connsiteX2" fmla="*/ 1095375 w 1104900"/>
            <a:gd name="connsiteY2" fmla="*/ 552450 h 581025"/>
            <a:gd name="connsiteX3" fmla="*/ 1104900 w 1104900"/>
            <a:gd name="connsiteY3" fmla="*/ 466725 h 581025"/>
            <a:gd name="connsiteX4" fmla="*/ 1085850 w 1104900"/>
            <a:gd name="connsiteY4" fmla="*/ 352425 h 581025"/>
            <a:gd name="connsiteX5" fmla="*/ 1076325 w 1104900"/>
            <a:gd name="connsiteY5" fmla="*/ 238125 h 581025"/>
            <a:gd name="connsiteX6" fmla="*/ 1057275 w 1104900"/>
            <a:gd name="connsiteY6" fmla="*/ 180975 h 581025"/>
            <a:gd name="connsiteX7" fmla="*/ 1009650 w 1104900"/>
            <a:gd name="connsiteY7" fmla="*/ 95250 h 581025"/>
            <a:gd name="connsiteX8" fmla="*/ 1000125 w 1104900"/>
            <a:gd name="connsiteY8" fmla="*/ 66675 h 581025"/>
            <a:gd name="connsiteX9" fmla="*/ 990600 w 1104900"/>
            <a:gd name="connsiteY9" fmla="*/ 28575 h 581025"/>
            <a:gd name="connsiteX10" fmla="*/ 962025 w 1104900"/>
            <a:gd name="connsiteY10" fmla="*/ 9525 h 581025"/>
            <a:gd name="connsiteX11" fmla="*/ 952500 w 1104900"/>
            <a:gd name="connsiteY11" fmla="*/ 0 h 581025"/>
            <a:gd name="connsiteX12" fmla="*/ 9525 w 1104900"/>
            <a:gd name="connsiteY12" fmla="*/ 95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104900" h="581025">
              <a:moveTo>
                <a:pt x="9525" y="9525"/>
              </a:moveTo>
              <a:lnTo>
                <a:pt x="0" y="581025"/>
              </a:lnTo>
              <a:lnTo>
                <a:pt x="1095375" y="552450"/>
              </a:lnTo>
              <a:cubicBezTo>
                <a:pt x="1098550" y="523875"/>
                <a:pt x="1104900" y="495476"/>
                <a:pt x="1104900" y="466725"/>
              </a:cubicBezTo>
              <a:cubicBezTo>
                <a:pt x="1104900" y="443096"/>
                <a:pt x="1091258" y="379467"/>
                <a:pt x="1085850" y="352425"/>
              </a:cubicBezTo>
              <a:cubicBezTo>
                <a:pt x="1082675" y="314325"/>
                <a:pt x="1082610" y="275837"/>
                <a:pt x="1076325" y="238125"/>
              </a:cubicBezTo>
              <a:cubicBezTo>
                <a:pt x="1073024" y="218318"/>
                <a:pt x="1063625" y="200025"/>
                <a:pt x="1057275" y="180975"/>
              </a:cubicBezTo>
              <a:cubicBezTo>
                <a:pt x="1040510" y="130680"/>
                <a:pt x="1053319" y="160754"/>
                <a:pt x="1009650" y="95250"/>
              </a:cubicBezTo>
              <a:cubicBezTo>
                <a:pt x="1004081" y="86896"/>
                <a:pt x="1002883" y="76329"/>
                <a:pt x="1000125" y="66675"/>
              </a:cubicBezTo>
              <a:cubicBezTo>
                <a:pt x="996529" y="54088"/>
                <a:pt x="997862" y="39467"/>
                <a:pt x="990600" y="28575"/>
              </a:cubicBezTo>
              <a:cubicBezTo>
                <a:pt x="984250" y="19050"/>
                <a:pt x="971183" y="16394"/>
                <a:pt x="962025" y="9525"/>
              </a:cubicBezTo>
              <a:cubicBezTo>
                <a:pt x="958433" y="6831"/>
                <a:pt x="955675" y="3175"/>
                <a:pt x="952500" y="0"/>
              </a:cubicBezTo>
              <a:lnTo>
                <a:pt x="9525" y="952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495529</xdr:colOff>
      <xdr:row>96</xdr:row>
      <xdr:rowOff>163232</xdr:rowOff>
    </xdr:from>
    <xdr:to>
      <xdr:col>8</xdr:col>
      <xdr:colOff>601285</xdr:colOff>
      <xdr:row>100</xdr:row>
      <xdr:rowOff>92262</xdr:rowOff>
    </xdr:to>
    <xdr:sp macro="" textlink="">
      <xdr:nvSpPr>
        <xdr:cNvPr id="22" name="Oklahoma"/>
        <xdr:cNvSpPr/>
      </xdr:nvSpPr>
      <xdr:spPr>
        <a:xfrm>
          <a:off x="3657829" y="16152532"/>
          <a:ext cx="1324956" cy="589430"/>
        </a:xfrm>
        <a:custGeom>
          <a:avLst/>
          <a:gdLst>
            <a:gd name="connsiteX0" fmla="*/ 0 w 1333920"/>
            <a:gd name="connsiteY0" fmla="*/ 19050 h 609600"/>
            <a:gd name="connsiteX1" fmla="*/ 9525 w 1333920"/>
            <a:gd name="connsiteY1" fmla="*/ 104775 h 609600"/>
            <a:gd name="connsiteX2" fmla="*/ 419100 w 1333920"/>
            <a:gd name="connsiteY2" fmla="*/ 123825 h 609600"/>
            <a:gd name="connsiteX3" fmla="*/ 419100 w 1333920"/>
            <a:gd name="connsiteY3" fmla="*/ 457200 h 609600"/>
            <a:gd name="connsiteX4" fmla="*/ 504825 w 1333920"/>
            <a:gd name="connsiteY4" fmla="*/ 476250 h 609600"/>
            <a:gd name="connsiteX5" fmla="*/ 533400 w 1333920"/>
            <a:gd name="connsiteY5" fmla="*/ 495300 h 609600"/>
            <a:gd name="connsiteX6" fmla="*/ 561975 w 1333920"/>
            <a:gd name="connsiteY6" fmla="*/ 504825 h 609600"/>
            <a:gd name="connsiteX7" fmla="*/ 590550 w 1333920"/>
            <a:gd name="connsiteY7" fmla="*/ 533400 h 609600"/>
            <a:gd name="connsiteX8" fmla="*/ 809625 w 1333920"/>
            <a:gd name="connsiteY8" fmla="*/ 561975 h 609600"/>
            <a:gd name="connsiteX9" fmla="*/ 828675 w 1333920"/>
            <a:gd name="connsiteY9" fmla="*/ 590550 h 609600"/>
            <a:gd name="connsiteX10" fmla="*/ 857250 w 1333920"/>
            <a:gd name="connsiteY10" fmla="*/ 600075 h 609600"/>
            <a:gd name="connsiteX11" fmla="*/ 1019175 w 1333920"/>
            <a:gd name="connsiteY11" fmla="*/ 590550 h 609600"/>
            <a:gd name="connsiteX12" fmla="*/ 1076325 w 1333920"/>
            <a:gd name="connsiteY12" fmla="*/ 561975 h 609600"/>
            <a:gd name="connsiteX13" fmla="*/ 1133475 w 1333920"/>
            <a:gd name="connsiteY13" fmla="*/ 533400 h 609600"/>
            <a:gd name="connsiteX14" fmla="*/ 1276350 w 1333920"/>
            <a:gd name="connsiteY14" fmla="*/ 581025 h 609600"/>
            <a:gd name="connsiteX15" fmla="*/ 1304925 w 1333920"/>
            <a:gd name="connsiteY15" fmla="*/ 590550 h 609600"/>
            <a:gd name="connsiteX16" fmla="*/ 1323975 w 1333920"/>
            <a:gd name="connsiteY16" fmla="*/ 609600 h 609600"/>
            <a:gd name="connsiteX17" fmla="*/ 1238250 w 1333920"/>
            <a:gd name="connsiteY17" fmla="*/ 0 h 609600"/>
            <a:gd name="connsiteX18" fmla="*/ 0 w 1333920"/>
            <a:gd name="connsiteY18" fmla="*/ 19050 h 609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1333920" h="609600">
              <a:moveTo>
                <a:pt x="0" y="19050"/>
              </a:moveTo>
              <a:lnTo>
                <a:pt x="9525" y="104775"/>
              </a:lnTo>
              <a:lnTo>
                <a:pt x="419100" y="123825"/>
              </a:lnTo>
              <a:lnTo>
                <a:pt x="419100" y="457200"/>
              </a:lnTo>
              <a:cubicBezTo>
                <a:pt x="447675" y="463550"/>
                <a:pt x="477055" y="466993"/>
                <a:pt x="504825" y="476250"/>
              </a:cubicBezTo>
              <a:cubicBezTo>
                <a:pt x="515685" y="479870"/>
                <a:pt x="523161" y="490180"/>
                <a:pt x="533400" y="495300"/>
              </a:cubicBezTo>
              <a:cubicBezTo>
                <a:pt x="542380" y="499790"/>
                <a:pt x="552450" y="501650"/>
                <a:pt x="561975" y="504825"/>
              </a:cubicBezTo>
              <a:cubicBezTo>
                <a:pt x="571500" y="514350"/>
                <a:pt x="580202" y="524776"/>
                <a:pt x="590550" y="533400"/>
              </a:cubicBezTo>
              <a:cubicBezTo>
                <a:pt x="654691" y="586851"/>
                <a:pt x="703971" y="556692"/>
                <a:pt x="809625" y="561975"/>
              </a:cubicBezTo>
              <a:cubicBezTo>
                <a:pt x="815975" y="571500"/>
                <a:pt x="819736" y="583399"/>
                <a:pt x="828675" y="590550"/>
              </a:cubicBezTo>
              <a:cubicBezTo>
                <a:pt x="836515" y="596822"/>
                <a:pt x="847210" y="600075"/>
                <a:pt x="857250" y="600075"/>
              </a:cubicBezTo>
              <a:cubicBezTo>
                <a:pt x="911318" y="600075"/>
                <a:pt x="965200" y="593725"/>
                <a:pt x="1019175" y="590550"/>
              </a:cubicBezTo>
              <a:cubicBezTo>
                <a:pt x="1101067" y="535955"/>
                <a:pt x="997455" y="601410"/>
                <a:pt x="1076325" y="561975"/>
              </a:cubicBezTo>
              <a:cubicBezTo>
                <a:pt x="1150183" y="525046"/>
                <a:pt x="1061651" y="557341"/>
                <a:pt x="1133475" y="533400"/>
              </a:cubicBezTo>
              <a:lnTo>
                <a:pt x="1276350" y="581025"/>
              </a:lnTo>
              <a:lnTo>
                <a:pt x="1304925" y="590550"/>
              </a:lnTo>
              <a:cubicBezTo>
                <a:pt x="1337760" y="601495"/>
                <a:pt x="1340600" y="592975"/>
                <a:pt x="1323975" y="609600"/>
              </a:cubicBezTo>
              <a:lnTo>
                <a:pt x="1238250" y="0"/>
              </a:lnTo>
              <a:lnTo>
                <a:pt x="0" y="1905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519062</xdr:colOff>
      <xdr:row>97</xdr:row>
      <xdr:rowOff>82176</xdr:rowOff>
    </xdr:from>
    <xdr:to>
      <xdr:col>9</xdr:col>
      <xdr:colOff>120417</xdr:colOff>
      <xdr:row>108</xdr:row>
      <xdr:rowOff>159006</xdr:rowOff>
    </xdr:to>
    <xdr:sp macro="" textlink="">
      <xdr:nvSpPr>
        <xdr:cNvPr id="23" name="Texas"/>
        <xdr:cNvSpPr/>
      </xdr:nvSpPr>
      <xdr:spPr>
        <a:xfrm>
          <a:off x="3071762" y="16236576"/>
          <a:ext cx="2039755" cy="1892930"/>
        </a:xfrm>
        <a:custGeom>
          <a:avLst/>
          <a:gdLst>
            <a:gd name="connsiteX0" fmla="*/ 581025 w 2057685"/>
            <a:gd name="connsiteY0" fmla="*/ 0 h 1953441"/>
            <a:gd name="connsiteX1" fmla="*/ 533400 w 2057685"/>
            <a:gd name="connsiteY1" fmla="*/ 790575 h 1953441"/>
            <a:gd name="connsiteX2" fmla="*/ 0 w 2057685"/>
            <a:gd name="connsiteY2" fmla="*/ 809625 h 1953441"/>
            <a:gd name="connsiteX3" fmla="*/ 38100 w 2057685"/>
            <a:gd name="connsiteY3" fmla="*/ 885825 h 1953441"/>
            <a:gd name="connsiteX4" fmla="*/ 47625 w 2057685"/>
            <a:gd name="connsiteY4" fmla="*/ 914400 h 1953441"/>
            <a:gd name="connsiteX5" fmla="*/ 76200 w 2057685"/>
            <a:gd name="connsiteY5" fmla="*/ 933450 h 1953441"/>
            <a:gd name="connsiteX6" fmla="*/ 95250 w 2057685"/>
            <a:gd name="connsiteY6" fmla="*/ 962025 h 1953441"/>
            <a:gd name="connsiteX7" fmla="*/ 152400 w 2057685"/>
            <a:gd name="connsiteY7" fmla="*/ 1000125 h 1953441"/>
            <a:gd name="connsiteX8" fmla="*/ 171450 w 2057685"/>
            <a:gd name="connsiteY8" fmla="*/ 1028700 h 1953441"/>
            <a:gd name="connsiteX9" fmla="*/ 200025 w 2057685"/>
            <a:gd name="connsiteY9" fmla="*/ 1047750 h 1953441"/>
            <a:gd name="connsiteX10" fmla="*/ 219075 w 2057685"/>
            <a:gd name="connsiteY10" fmla="*/ 1104900 h 1953441"/>
            <a:gd name="connsiteX11" fmla="*/ 266700 w 2057685"/>
            <a:gd name="connsiteY11" fmla="*/ 1162050 h 1953441"/>
            <a:gd name="connsiteX12" fmla="*/ 285750 w 2057685"/>
            <a:gd name="connsiteY12" fmla="*/ 1219200 h 1953441"/>
            <a:gd name="connsiteX13" fmla="*/ 314325 w 2057685"/>
            <a:gd name="connsiteY13" fmla="*/ 1247775 h 1953441"/>
            <a:gd name="connsiteX14" fmla="*/ 333375 w 2057685"/>
            <a:gd name="connsiteY14" fmla="*/ 1276350 h 1953441"/>
            <a:gd name="connsiteX15" fmla="*/ 419100 w 2057685"/>
            <a:gd name="connsiteY15" fmla="*/ 1323975 h 1953441"/>
            <a:gd name="connsiteX16" fmla="*/ 438150 w 2057685"/>
            <a:gd name="connsiteY16" fmla="*/ 1352550 h 1953441"/>
            <a:gd name="connsiteX17" fmla="*/ 504825 w 2057685"/>
            <a:gd name="connsiteY17" fmla="*/ 1371600 h 1953441"/>
            <a:gd name="connsiteX18" fmla="*/ 552450 w 2057685"/>
            <a:gd name="connsiteY18" fmla="*/ 1362075 h 1953441"/>
            <a:gd name="connsiteX19" fmla="*/ 600075 w 2057685"/>
            <a:gd name="connsiteY19" fmla="*/ 1314450 h 1953441"/>
            <a:gd name="connsiteX20" fmla="*/ 628650 w 2057685"/>
            <a:gd name="connsiteY20" fmla="*/ 1285875 h 1953441"/>
            <a:gd name="connsiteX21" fmla="*/ 638175 w 2057685"/>
            <a:gd name="connsiteY21" fmla="*/ 1257300 h 1953441"/>
            <a:gd name="connsiteX22" fmla="*/ 742950 w 2057685"/>
            <a:gd name="connsiteY22" fmla="*/ 1257300 h 1953441"/>
            <a:gd name="connsiteX23" fmla="*/ 800100 w 2057685"/>
            <a:gd name="connsiteY23" fmla="*/ 1276350 h 1953441"/>
            <a:gd name="connsiteX24" fmla="*/ 866775 w 2057685"/>
            <a:gd name="connsiteY24" fmla="*/ 1343025 h 1953441"/>
            <a:gd name="connsiteX25" fmla="*/ 895350 w 2057685"/>
            <a:gd name="connsiteY25" fmla="*/ 1371600 h 1953441"/>
            <a:gd name="connsiteX26" fmla="*/ 923925 w 2057685"/>
            <a:gd name="connsiteY26" fmla="*/ 1381125 h 1953441"/>
            <a:gd name="connsiteX27" fmla="*/ 942975 w 2057685"/>
            <a:gd name="connsiteY27" fmla="*/ 1438275 h 1953441"/>
            <a:gd name="connsiteX28" fmla="*/ 962025 w 2057685"/>
            <a:gd name="connsiteY28" fmla="*/ 1495425 h 1953441"/>
            <a:gd name="connsiteX29" fmla="*/ 990600 w 2057685"/>
            <a:gd name="connsiteY29" fmla="*/ 1524000 h 1953441"/>
            <a:gd name="connsiteX30" fmla="*/ 1038225 w 2057685"/>
            <a:gd name="connsiteY30" fmla="*/ 1581150 h 1953441"/>
            <a:gd name="connsiteX31" fmla="*/ 1057275 w 2057685"/>
            <a:gd name="connsiteY31" fmla="*/ 1638300 h 1953441"/>
            <a:gd name="connsiteX32" fmla="*/ 1066800 w 2057685"/>
            <a:gd name="connsiteY32" fmla="*/ 1666875 h 1953441"/>
            <a:gd name="connsiteX33" fmla="*/ 1095375 w 2057685"/>
            <a:gd name="connsiteY33" fmla="*/ 1685925 h 1953441"/>
            <a:gd name="connsiteX34" fmla="*/ 1123950 w 2057685"/>
            <a:gd name="connsiteY34" fmla="*/ 1743075 h 1953441"/>
            <a:gd name="connsiteX35" fmla="*/ 1152525 w 2057685"/>
            <a:gd name="connsiteY35" fmla="*/ 1800225 h 1953441"/>
            <a:gd name="connsiteX36" fmla="*/ 1162050 w 2057685"/>
            <a:gd name="connsiteY36" fmla="*/ 1847850 h 1953441"/>
            <a:gd name="connsiteX37" fmla="*/ 1219200 w 2057685"/>
            <a:gd name="connsiteY37" fmla="*/ 1876425 h 1953441"/>
            <a:gd name="connsiteX38" fmla="*/ 1276350 w 2057685"/>
            <a:gd name="connsiteY38" fmla="*/ 1914525 h 1953441"/>
            <a:gd name="connsiteX39" fmla="*/ 1304925 w 2057685"/>
            <a:gd name="connsiteY39" fmla="*/ 1933575 h 1953441"/>
            <a:gd name="connsiteX40" fmla="*/ 1419225 w 2057685"/>
            <a:gd name="connsiteY40" fmla="*/ 1943100 h 1953441"/>
            <a:gd name="connsiteX41" fmla="*/ 1447800 w 2057685"/>
            <a:gd name="connsiteY41" fmla="*/ 1952625 h 1953441"/>
            <a:gd name="connsiteX42" fmla="*/ 1466850 w 2057685"/>
            <a:gd name="connsiteY42" fmla="*/ 1924050 h 1953441"/>
            <a:gd name="connsiteX43" fmla="*/ 1457325 w 2057685"/>
            <a:gd name="connsiteY43" fmla="*/ 1857375 h 1953441"/>
            <a:gd name="connsiteX44" fmla="*/ 1438275 w 2057685"/>
            <a:gd name="connsiteY44" fmla="*/ 1781175 h 1953441"/>
            <a:gd name="connsiteX45" fmla="*/ 1447800 w 2057685"/>
            <a:gd name="connsiteY45" fmla="*/ 1590675 h 1953441"/>
            <a:gd name="connsiteX46" fmla="*/ 1495425 w 2057685"/>
            <a:gd name="connsiteY46" fmla="*/ 1504950 h 1953441"/>
            <a:gd name="connsiteX47" fmla="*/ 1524000 w 2057685"/>
            <a:gd name="connsiteY47" fmla="*/ 1485900 h 1953441"/>
            <a:gd name="connsiteX48" fmla="*/ 1628775 w 2057685"/>
            <a:gd name="connsiteY48" fmla="*/ 1409700 h 1953441"/>
            <a:gd name="connsiteX49" fmla="*/ 1704975 w 2057685"/>
            <a:gd name="connsiteY49" fmla="*/ 1400175 h 1953441"/>
            <a:gd name="connsiteX50" fmla="*/ 1771650 w 2057685"/>
            <a:gd name="connsiteY50" fmla="*/ 1323975 h 1953441"/>
            <a:gd name="connsiteX51" fmla="*/ 1809750 w 2057685"/>
            <a:gd name="connsiteY51" fmla="*/ 1266825 h 1953441"/>
            <a:gd name="connsiteX52" fmla="*/ 1819275 w 2057685"/>
            <a:gd name="connsiteY52" fmla="*/ 1238250 h 1953441"/>
            <a:gd name="connsiteX53" fmla="*/ 1847850 w 2057685"/>
            <a:gd name="connsiteY53" fmla="*/ 1219200 h 1953441"/>
            <a:gd name="connsiteX54" fmla="*/ 1895475 w 2057685"/>
            <a:gd name="connsiteY54" fmla="*/ 1276350 h 1953441"/>
            <a:gd name="connsiteX55" fmla="*/ 1924050 w 2057685"/>
            <a:gd name="connsiteY55" fmla="*/ 1257300 h 1953441"/>
            <a:gd name="connsiteX56" fmla="*/ 2000250 w 2057685"/>
            <a:gd name="connsiteY56" fmla="*/ 1219200 h 1953441"/>
            <a:gd name="connsiteX57" fmla="*/ 2028825 w 2057685"/>
            <a:gd name="connsiteY57" fmla="*/ 1162050 h 1953441"/>
            <a:gd name="connsiteX58" fmla="*/ 2038350 w 2057685"/>
            <a:gd name="connsiteY58" fmla="*/ 1028700 h 1953441"/>
            <a:gd name="connsiteX59" fmla="*/ 2057400 w 2057685"/>
            <a:gd name="connsiteY59" fmla="*/ 1000125 h 1953441"/>
            <a:gd name="connsiteX60" fmla="*/ 2047875 w 2057685"/>
            <a:gd name="connsiteY60" fmla="*/ 962025 h 1953441"/>
            <a:gd name="connsiteX61" fmla="*/ 2028825 w 2057685"/>
            <a:gd name="connsiteY61" fmla="*/ 904875 h 1953441"/>
            <a:gd name="connsiteX62" fmla="*/ 2000250 w 2057685"/>
            <a:gd name="connsiteY62" fmla="*/ 819150 h 1953441"/>
            <a:gd name="connsiteX63" fmla="*/ 1990725 w 2057685"/>
            <a:gd name="connsiteY63" fmla="*/ 781050 h 1953441"/>
            <a:gd name="connsiteX64" fmla="*/ 1971675 w 2057685"/>
            <a:gd name="connsiteY64" fmla="*/ 752475 h 1953441"/>
            <a:gd name="connsiteX65" fmla="*/ 1962150 w 2057685"/>
            <a:gd name="connsiteY65" fmla="*/ 666750 h 1953441"/>
            <a:gd name="connsiteX66" fmla="*/ 1952625 w 2057685"/>
            <a:gd name="connsiteY66" fmla="*/ 628650 h 1953441"/>
            <a:gd name="connsiteX67" fmla="*/ 1943100 w 2057685"/>
            <a:gd name="connsiteY67" fmla="*/ 533400 h 1953441"/>
            <a:gd name="connsiteX68" fmla="*/ 1914525 w 2057685"/>
            <a:gd name="connsiteY68" fmla="*/ 514350 h 1953441"/>
            <a:gd name="connsiteX69" fmla="*/ 1885950 w 2057685"/>
            <a:gd name="connsiteY69" fmla="*/ 485775 h 1953441"/>
            <a:gd name="connsiteX70" fmla="*/ 1809750 w 2057685"/>
            <a:gd name="connsiteY70" fmla="*/ 466725 h 1953441"/>
            <a:gd name="connsiteX71" fmla="*/ 1781175 w 2057685"/>
            <a:gd name="connsiteY71" fmla="*/ 457200 h 1953441"/>
            <a:gd name="connsiteX72" fmla="*/ 1743075 w 2057685"/>
            <a:gd name="connsiteY72" fmla="*/ 447675 h 1953441"/>
            <a:gd name="connsiteX73" fmla="*/ 1657350 w 2057685"/>
            <a:gd name="connsiteY73" fmla="*/ 466725 h 1953441"/>
            <a:gd name="connsiteX74" fmla="*/ 1628775 w 2057685"/>
            <a:gd name="connsiteY74" fmla="*/ 485775 h 1953441"/>
            <a:gd name="connsiteX75" fmla="*/ 1438275 w 2057685"/>
            <a:gd name="connsiteY75" fmla="*/ 495300 h 1953441"/>
            <a:gd name="connsiteX76" fmla="*/ 1333500 w 2057685"/>
            <a:gd name="connsiteY76" fmla="*/ 466725 h 1953441"/>
            <a:gd name="connsiteX77" fmla="*/ 1162050 w 2057685"/>
            <a:gd name="connsiteY77" fmla="*/ 447675 h 1953441"/>
            <a:gd name="connsiteX78" fmla="*/ 1133475 w 2057685"/>
            <a:gd name="connsiteY78" fmla="*/ 438150 h 1953441"/>
            <a:gd name="connsiteX79" fmla="*/ 1114425 w 2057685"/>
            <a:gd name="connsiteY79" fmla="*/ 409575 h 1953441"/>
            <a:gd name="connsiteX80" fmla="*/ 1057275 w 2057685"/>
            <a:gd name="connsiteY80" fmla="*/ 390525 h 1953441"/>
            <a:gd name="connsiteX81" fmla="*/ 1028700 w 2057685"/>
            <a:gd name="connsiteY81" fmla="*/ 371475 h 1953441"/>
            <a:gd name="connsiteX82" fmla="*/ 1019175 w 2057685"/>
            <a:gd name="connsiteY82" fmla="*/ 342900 h 1953441"/>
            <a:gd name="connsiteX83" fmla="*/ 1009650 w 2057685"/>
            <a:gd name="connsiteY83" fmla="*/ 333375 h 1953441"/>
            <a:gd name="connsiteX84" fmla="*/ 1000125 w 2057685"/>
            <a:gd name="connsiteY84" fmla="*/ 19050 h 1953441"/>
            <a:gd name="connsiteX85" fmla="*/ 581025 w 2057685"/>
            <a:gd name="connsiteY85" fmla="*/ 0 h 19534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2057685" h="1953441">
              <a:moveTo>
                <a:pt x="581025" y="0"/>
              </a:moveTo>
              <a:lnTo>
                <a:pt x="533400" y="790575"/>
              </a:lnTo>
              <a:lnTo>
                <a:pt x="0" y="809625"/>
              </a:lnTo>
              <a:cubicBezTo>
                <a:pt x="12700" y="835025"/>
                <a:pt x="26349" y="859972"/>
                <a:pt x="38100" y="885825"/>
              </a:cubicBezTo>
              <a:cubicBezTo>
                <a:pt x="42255" y="894965"/>
                <a:pt x="41353" y="906560"/>
                <a:pt x="47625" y="914400"/>
              </a:cubicBezTo>
              <a:cubicBezTo>
                <a:pt x="54776" y="923339"/>
                <a:pt x="66675" y="927100"/>
                <a:pt x="76200" y="933450"/>
              </a:cubicBezTo>
              <a:cubicBezTo>
                <a:pt x="82550" y="942975"/>
                <a:pt x="86635" y="954487"/>
                <a:pt x="95250" y="962025"/>
              </a:cubicBezTo>
              <a:cubicBezTo>
                <a:pt x="112480" y="977102"/>
                <a:pt x="152400" y="1000125"/>
                <a:pt x="152400" y="1000125"/>
              </a:cubicBezTo>
              <a:cubicBezTo>
                <a:pt x="158750" y="1009650"/>
                <a:pt x="163355" y="1020605"/>
                <a:pt x="171450" y="1028700"/>
              </a:cubicBezTo>
              <a:cubicBezTo>
                <a:pt x="179545" y="1036795"/>
                <a:pt x="193958" y="1038042"/>
                <a:pt x="200025" y="1047750"/>
              </a:cubicBezTo>
              <a:cubicBezTo>
                <a:pt x="210668" y="1064778"/>
                <a:pt x="207936" y="1088192"/>
                <a:pt x="219075" y="1104900"/>
              </a:cubicBezTo>
              <a:cubicBezTo>
                <a:pt x="245597" y="1144683"/>
                <a:pt x="230030" y="1125380"/>
                <a:pt x="266700" y="1162050"/>
              </a:cubicBezTo>
              <a:cubicBezTo>
                <a:pt x="273050" y="1181100"/>
                <a:pt x="271551" y="1205001"/>
                <a:pt x="285750" y="1219200"/>
              </a:cubicBezTo>
              <a:cubicBezTo>
                <a:pt x="295275" y="1228725"/>
                <a:pt x="305701" y="1237427"/>
                <a:pt x="314325" y="1247775"/>
              </a:cubicBezTo>
              <a:cubicBezTo>
                <a:pt x="321654" y="1256569"/>
                <a:pt x="324760" y="1268812"/>
                <a:pt x="333375" y="1276350"/>
              </a:cubicBezTo>
              <a:cubicBezTo>
                <a:pt x="373685" y="1311621"/>
                <a:pt x="379853" y="1310893"/>
                <a:pt x="419100" y="1323975"/>
              </a:cubicBezTo>
              <a:cubicBezTo>
                <a:pt x="425450" y="1333500"/>
                <a:pt x="429211" y="1345399"/>
                <a:pt x="438150" y="1352550"/>
              </a:cubicBezTo>
              <a:cubicBezTo>
                <a:pt x="444361" y="1357519"/>
                <a:pt x="502336" y="1370978"/>
                <a:pt x="504825" y="1371600"/>
              </a:cubicBezTo>
              <a:cubicBezTo>
                <a:pt x="520700" y="1368425"/>
                <a:pt x="537291" y="1367759"/>
                <a:pt x="552450" y="1362075"/>
              </a:cubicBezTo>
              <a:cubicBezTo>
                <a:pt x="586317" y="1349375"/>
                <a:pt x="578908" y="1339850"/>
                <a:pt x="600075" y="1314450"/>
              </a:cubicBezTo>
              <a:cubicBezTo>
                <a:pt x="608699" y="1304102"/>
                <a:pt x="619125" y="1295400"/>
                <a:pt x="628650" y="1285875"/>
              </a:cubicBezTo>
              <a:cubicBezTo>
                <a:pt x="631825" y="1276350"/>
                <a:pt x="631903" y="1265140"/>
                <a:pt x="638175" y="1257300"/>
              </a:cubicBezTo>
              <a:cubicBezTo>
                <a:pt x="667972" y="1220054"/>
                <a:pt x="702673" y="1243874"/>
                <a:pt x="742950" y="1257300"/>
              </a:cubicBezTo>
              <a:lnTo>
                <a:pt x="800100" y="1276350"/>
              </a:lnTo>
              <a:cubicBezTo>
                <a:pt x="843769" y="1341854"/>
                <a:pt x="816480" y="1326260"/>
                <a:pt x="866775" y="1343025"/>
              </a:cubicBezTo>
              <a:cubicBezTo>
                <a:pt x="876300" y="1352550"/>
                <a:pt x="884142" y="1364128"/>
                <a:pt x="895350" y="1371600"/>
              </a:cubicBezTo>
              <a:cubicBezTo>
                <a:pt x="903704" y="1377169"/>
                <a:pt x="918089" y="1372955"/>
                <a:pt x="923925" y="1381125"/>
              </a:cubicBezTo>
              <a:cubicBezTo>
                <a:pt x="935597" y="1397465"/>
                <a:pt x="936625" y="1419225"/>
                <a:pt x="942975" y="1438275"/>
              </a:cubicBezTo>
              <a:lnTo>
                <a:pt x="962025" y="1495425"/>
              </a:lnTo>
              <a:cubicBezTo>
                <a:pt x="966285" y="1508204"/>
                <a:pt x="981976" y="1513652"/>
                <a:pt x="990600" y="1524000"/>
              </a:cubicBezTo>
              <a:cubicBezTo>
                <a:pt x="1056905" y="1603566"/>
                <a:pt x="954743" y="1497668"/>
                <a:pt x="1038225" y="1581150"/>
              </a:cubicBezTo>
              <a:lnTo>
                <a:pt x="1057275" y="1638300"/>
              </a:lnTo>
              <a:cubicBezTo>
                <a:pt x="1060450" y="1647825"/>
                <a:pt x="1058446" y="1661306"/>
                <a:pt x="1066800" y="1666875"/>
              </a:cubicBezTo>
              <a:lnTo>
                <a:pt x="1095375" y="1685925"/>
              </a:lnTo>
              <a:cubicBezTo>
                <a:pt x="1119316" y="1757749"/>
                <a:pt x="1087021" y="1669217"/>
                <a:pt x="1123950" y="1743075"/>
              </a:cubicBezTo>
              <a:cubicBezTo>
                <a:pt x="1163385" y="1821945"/>
                <a:pt x="1097930" y="1718333"/>
                <a:pt x="1152525" y="1800225"/>
              </a:cubicBezTo>
              <a:cubicBezTo>
                <a:pt x="1155700" y="1816100"/>
                <a:pt x="1154018" y="1833794"/>
                <a:pt x="1162050" y="1847850"/>
              </a:cubicBezTo>
              <a:cubicBezTo>
                <a:pt x="1170739" y="1863056"/>
                <a:pt x="1204533" y="1871536"/>
                <a:pt x="1219200" y="1876425"/>
              </a:cubicBezTo>
              <a:cubicBezTo>
                <a:pt x="1273369" y="1930594"/>
                <a:pt x="1221211" y="1886956"/>
                <a:pt x="1276350" y="1914525"/>
              </a:cubicBezTo>
              <a:cubicBezTo>
                <a:pt x="1286589" y="1919645"/>
                <a:pt x="1293700" y="1931330"/>
                <a:pt x="1304925" y="1933575"/>
              </a:cubicBezTo>
              <a:cubicBezTo>
                <a:pt x="1342415" y="1941073"/>
                <a:pt x="1381125" y="1939925"/>
                <a:pt x="1419225" y="1943100"/>
              </a:cubicBezTo>
              <a:cubicBezTo>
                <a:pt x="1428750" y="1946275"/>
                <a:pt x="1438478" y="1956354"/>
                <a:pt x="1447800" y="1952625"/>
              </a:cubicBezTo>
              <a:cubicBezTo>
                <a:pt x="1458429" y="1948373"/>
                <a:pt x="1465711" y="1935441"/>
                <a:pt x="1466850" y="1924050"/>
              </a:cubicBezTo>
              <a:cubicBezTo>
                <a:pt x="1469084" y="1901711"/>
                <a:pt x="1461016" y="1879520"/>
                <a:pt x="1457325" y="1857375"/>
              </a:cubicBezTo>
              <a:cubicBezTo>
                <a:pt x="1449662" y="1811399"/>
                <a:pt x="1450543" y="1817980"/>
                <a:pt x="1438275" y="1781175"/>
              </a:cubicBezTo>
              <a:cubicBezTo>
                <a:pt x="1441450" y="1717675"/>
                <a:pt x="1442292" y="1654015"/>
                <a:pt x="1447800" y="1590675"/>
              </a:cubicBezTo>
              <a:cubicBezTo>
                <a:pt x="1449938" y="1566090"/>
                <a:pt x="1485111" y="1511826"/>
                <a:pt x="1495425" y="1504950"/>
              </a:cubicBezTo>
              <a:cubicBezTo>
                <a:pt x="1504950" y="1498600"/>
                <a:pt x="1514842" y="1492769"/>
                <a:pt x="1524000" y="1485900"/>
              </a:cubicBezTo>
              <a:cubicBezTo>
                <a:pt x="1628805" y="1407296"/>
                <a:pt x="1510448" y="1488584"/>
                <a:pt x="1628775" y="1409700"/>
              </a:cubicBezTo>
              <a:cubicBezTo>
                <a:pt x="1650074" y="1395501"/>
                <a:pt x="1679575" y="1403350"/>
                <a:pt x="1704975" y="1400175"/>
              </a:cubicBezTo>
              <a:cubicBezTo>
                <a:pt x="1749425" y="1333500"/>
                <a:pt x="1724025" y="1355725"/>
                <a:pt x="1771650" y="1323975"/>
              </a:cubicBezTo>
              <a:lnTo>
                <a:pt x="1809750" y="1266825"/>
              </a:lnTo>
              <a:cubicBezTo>
                <a:pt x="1815319" y="1258471"/>
                <a:pt x="1813003" y="1246090"/>
                <a:pt x="1819275" y="1238250"/>
              </a:cubicBezTo>
              <a:cubicBezTo>
                <a:pt x="1826426" y="1229311"/>
                <a:pt x="1838325" y="1225550"/>
                <a:pt x="1847850" y="1219200"/>
              </a:cubicBezTo>
              <a:cubicBezTo>
                <a:pt x="1854895" y="1229767"/>
                <a:pt x="1881724" y="1274058"/>
                <a:pt x="1895475" y="1276350"/>
              </a:cubicBezTo>
              <a:cubicBezTo>
                <a:pt x="1906767" y="1278232"/>
                <a:pt x="1914525" y="1263650"/>
                <a:pt x="1924050" y="1257300"/>
              </a:cubicBezTo>
              <a:cubicBezTo>
                <a:pt x="1967336" y="1192371"/>
                <a:pt x="1908994" y="1264828"/>
                <a:pt x="2000250" y="1219200"/>
              </a:cubicBezTo>
              <a:cubicBezTo>
                <a:pt x="2015022" y="1211814"/>
                <a:pt x="2024317" y="1175574"/>
                <a:pt x="2028825" y="1162050"/>
              </a:cubicBezTo>
              <a:cubicBezTo>
                <a:pt x="2032000" y="1117600"/>
                <a:pt x="2030606" y="1072585"/>
                <a:pt x="2038350" y="1028700"/>
              </a:cubicBezTo>
              <a:cubicBezTo>
                <a:pt x="2040339" y="1017427"/>
                <a:pt x="2055781" y="1011458"/>
                <a:pt x="2057400" y="1000125"/>
              </a:cubicBezTo>
              <a:cubicBezTo>
                <a:pt x="2059251" y="987166"/>
                <a:pt x="2051637" y="974564"/>
                <a:pt x="2047875" y="962025"/>
              </a:cubicBezTo>
              <a:cubicBezTo>
                <a:pt x="2042105" y="942791"/>
                <a:pt x="2035175" y="923925"/>
                <a:pt x="2028825" y="904875"/>
              </a:cubicBezTo>
              <a:lnTo>
                <a:pt x="2000250" y="819150"/>
              </a:lnTo>
              <a:cubicBezTo>
                <a:pt x="1996110" y="806731"/>
                <a:pt x="1995882" y="793082"/>
                <a:pt x="1990725" y="781050"/>
              </a:cubicBezTo>
              <a:cubicBezTo>
                <a:pt x="1986216" y="770528"/>
                <a:pt x="1978025" y="762000"/>
                <a:pt x="1971675" y="752475"/>
              </a:cubicBezTo>
              <a:cubicBezTo>
                <a:pt x="1968500" y="723900"/>
                <a:pt x="1966522" y="695167"/>
                <a:pt x="1962150" y="666750"/>
              </a:cubicBezTo>
              <a:cubicBezTo>
                <a:pt x="1960159" y="653811"/>
                <a:pt x="1954476" y="641609"/>
                <a:pt x="1952625" y="628650"/>
              </a:cubicBezTo>
              <a:cubicBezTo>
                <a:pt x="1948112" y="597062"/>
                <a:pt x="1953190" y="563671"/>
                <a:pt x="1943100" y="533400"/>
              </a:cubicBezTo>
              <a:cubicBezTo>
                <a:pt x="1939480" y="522540"/>
                <a:pt x="1923319" y="521679"/>
                <a:pt x="1914525" y="514350"/>
              </a:cubicBezTo>
              <a:cubicBezTo>
                <a:pt x="1904177" y="505726"/>
                <a:pt x="1898213" y="491349"/>
                <a:pt x="1885950" y="485775"/>
              </a:cubicBezTo>
              <a:cubicBezTo>
                <a:pt x="1862115" y="474941"/>
                <a:pt x="1835150" y="473075"/>
                <a:pt x="1809750" y="466725"/>
              </a:cubicBezTo>
              <a:cubicBezTo>
                <a:pt x="1800010" y="464290"/>
                <a:pt x="1790829" y="459958"/>
                <a:pt x="1781175" y="457200"/>
              </a:cubicBezTo>
              <a:cubicBezTo>
                <a:pt x="1768588" y="453604"/>
                <a:pt x="1755775" y="450850"/>
                <a:pt x="1743075" y="447675"/>
              </a:cubicBezTo>
              <a:cubicBezTo>
                <a:pt x="1721125" y="451333"/>
                <a:pt x="1680798" y="455001"/>
                <a:pt x="1657350" y="466725"/>
              </a:cubicBezTo>
              <a:cubicBezTo>
                <a:pt x="1647111" y="471845"/>
                <a:pt x="1640126" y="484294"/>
                <a:pt x="1628775" y="485775"/>
              </a:cubicBezTo>
              <a:cubicBezTo>
                <a:pt x="1565730" y="493998"/>
                <a:pt x="1501775" y="492125"/>
                <a:pt x="1438275" y="495300"/>
              </a:cubicBezTo>
              <a:cubicBezTo>
                <a:pt x="1370959" y="481837"/>
                <a:pt x="1406009" y="490895"/>
                <a:pt x="1333500" y="466725"/>
              </a:cubicBezTo>
              <a:cubicBezTo>
                <a:pt x="1321943" y="462873"/>
                <a:pt x="1162723" y="447742"/>
                <a:pt x="1162050" y="447675"/>
              </a:cubicBezTo>
              <a:cubicBezTo>
                <a:pt x="1152525" y="444500"/>
                <a:pt x="1141315" y="444422"/>
                <a:pt x="1133475" y="438150"/>
              </a:cubicBezTo>
              <a:cubicBezTo>
                <a:pt x="1124536" y="430999"/>
                <a:pt x="1124133" y="415642"/>
                <a:pt x="1114425" y="409575"/>
              </a:cubicBezTo>
              <a:cubicBezTo>
                <a:pt x="1097397" y="398932"/>
                <a:pt x="1057275" y="390525"/>
                <a:pt x="1057275" y="390525"/>
              </a:cubicBezTo>
              <a:cubicBezTo>
                <a:pt x="1047750" y="384175"/>
                <a:pt x="1035851" y="380414"/>
                <a:pt x="1028700" y="371475"/>
              </a:cubicBezTo>
              <a:cubicBezTo>
                <a:pt x="1022428" y="363635"/>
                <a:pt x="1023665" y="351880"/>
                <a:pt x="1019175" y="342900"/>
              </a:cubicBezTo>
              <a:cubicBezTo>
                <a:pt x="1017167" y="338884"/>
                <a:pt x="1012825" y="336550"/>
                <a:pt x="1009650" y="333375"/>
              </a:cubicBezTo>
              <a:lnTo>
                <a:pt x="1000125" y="19050"/>
              </a:lnTo>
              <a:lnTo>
                <a:pt x="581025"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190500</xdr:colOff>
      <xdr:row>101</xdr:row>
      <xdr:rowOff>3362</xdr:rowOff>
    </xdr:from>
    <xdr:to>
      <xdr:col>4</xdr:col>
      <xdr:colOff>26375</xdr:colOff>
      <xdr:row>108</xdr:row>
      <xdr:rowOff>102721</xdr:rowOff>
    </xdr:to>
    <xdr:sp macro="" textlink="">
      <xdr:nvSpPr>
        <xdr:cNvPr id="24" name="Alaska"/>
        <xdr:cNvSpPr/>
      </xdr:nvSpPr>
      <xdr:spPr>
        <a:xfrm>
          <a:off x="304800" y="16818162"/>
          <a:ext cx="1664675" cy="1255059"/>
        </a:xfrm>
        <a:custGeom>
          <a:avLst/>
          <a:gdLst>
            <a:gd name="connsiteX0" fmla="*/ 1203181 w 1549815"/>
            <a:gd name="connsiteY0" fmla="*/ 152400 h 1295400"/>
            <a:gd name="connsiteX1" fmla="*/ 1203181 w 1549815"/>
            <a:gd name="connsiteY1" fmla="*/ 152400 h 1295400"/>
            <a:gd name="connsiteX2" fmla="*/ 1060306 w 1549815"/>
            <a:gd name="connsiteY2" fmla="*/ 114300 h 1295400"/>
            <a:gd name="connsiteX3" fmla="*/ 1031731 w 1549815"/>
            <a:gd name="connsiteY3" fmla="*/ 104775 h 1295400"/>
            <a:gd name="connsiteX4" fmla="*/ 1003156 w 1549815"/>
            <a:gd name="connsiteY4" fmla="*/ 95250 h 1295400"/>
            <a:gd name="connsiteX5" fmla="*/ 946006 w 1549815"/>
            <a:gd name="connsiteY5" fmla="*/ 57150 h 1295400"/>
            <a:gd name="connsiteX6" fmla="*/ 926956 w 1549815"/>
            <a:gd name="connsiteY6" fmla="*/ 28575 h 1295400"/>
            <a:gd name="connsiteX7" fmla="*/ 869806 w 1549815"/>
            <a:gd name="connsiteY7" fmla="*/ 0 h 1295400"/>
            <a:gd name="connsiteX8" fmla="*/ 774556 w 1549815"/>
            <a:gd name="connsiteY8" fmla="*/ 9525 h 1295400"/>
            <a:gd name="connsiteX9" fmla="*/ 660256 w 1549815"/>
            <a:gd name="connsiteY9" fmla="*/ 28575 h 1295400"/>
            <a:gd name="connsiteX10" fmla="*/ 603106 w 1549815"/>
            <a:gd name="connsiteY10" fmla="*/ 76200 h 1295400"/>
            <a:gd name="connsiteX11" fmla="*/ 545956 w 1549815"/>
            <a:gd name="connsiteY11" fmla="*/ 95250 h 1295400"/>
            <a:gd name="connsiteX12" fmla="*/ 450706 w 1549815"/>
            <a:gd name="connsiteY12" fmla="*/ 85725 h 1295400"/>
            <a:gd name="connsiteX13" fmla="*/ 441181 w 1549815"/>
            <a:gd name="connsiteY13" fmla="*/ 123825 h 1295400"/>
            <a:gd name="connsiteX14" fmla="*/ 488806 w 1549815"/>
            <a:gd name="connsiteY14" fmla="*/ 209550 h 1295400"/>
            <a:gd name="connsiteX15" fmla="*/ 555481 w 1549815"/>
            <a:gd name="connsiteY15" fmla="*/ 285750 h 1295400"/>
            <a:gd name="connsiteX16" fmla="*/ 574531 w 1549815"/>
            <a:gd name="connsiteY16" fmla="*/ 314325 h 1295400"/>
            <a:gd name="connsiteX17" fmla="*/ 545956 w 1549815"/>
            <a:gd name="connsiteY17" fmla="*/ 323850 h 1295400"/>
            <a:gd name="connsiteX18" fmla="*/ 479281 w 1549815"/>
            <a:gd name="connsiteY18" fmla="*/ 314325 h 1295400"/>
            <a:gd name="connsiteX19" fmla="*/ 441181 w 1549815"/>
            <a:gd name="connsiteY19" fmla="*/ 276225 h 1295400"/>
            <a:gd name="connsiteX20" fmla="*/ 412606 w 1549815"/>
            <a:gd name="connsiteY20" fmla="*/ 257175 h 1295400"/>
            <a:gd name="connsiteX21" fmla="*/ 374506 w 1549815"/>
            <a:gd name="connsiteY21" fmla="*/ 266700 h 1295400"/>
            <a:gd name="connsiteX22" fmla="*/ 317356 w 1549815"/>
            <a:gd name="connsiteY22" fmla="*/ 285750 h 1295400"/>
            <a:gd name="connsiteX23" fmla="*/ 307831 w 1549815"/>
            <a:gd name="connsiteY23" fmla="*/ 314325 h 1295400"/>
            <a:gd name="connsiteX24" fmla="*/ 345931 w 1549815"/>
            <a:gd name="connsiteY24" fmla="*/ 419100 h 1295400"/>
            <a:gd name="connsiteX25" fmla="*/ 403081 w 1549815"/>
            <a:gd name="connsiteY25" fmla="*/ 438150 h 1295400"/>
            <a:gd name="connsiteX26" fmla="*/ 431656 w 1549815"/>
            <a:gd name="connsiteY26" fmla="*/ 447675 h 1295400"/>
            <a:gd name="connsiteX27" fmla="*/ 441181 w 1549815"/>
            <a:gd name="connsiteY27" fmla="*/ 533400 h 1295400"/>
            <a:gd name="connsiteX28" fmla="*/ 403081 w 1549815"/>
            <a:gd name="connsiteY28" fmla="*/ 542925 h 1295400"/>
            <a:gd name="connsiteX29" fmla="*/ 317356 w 1549815"/>
            <a:gd name="connsiteY29" fmla="*/ 533400 h 1295400"/>
            <a:gd name="connsiteX30" fmla="*/ 260206 w 1549815"/>
            <a:gd name="connsiteY30" fmla="*/ 552450 h 1295400"/>
            <a:gd name="connsiteX31" fmla="*/ 231631 w 1549815"/>
            <a:gd name="connsiteY31" fmla="*/ 571500 h 1295400"/>
            <a:gd name="connsiteX32" fmla="*/ 222106 w 1549815"/>
            <a:gd name="connsiteY32" fmla="*/ 600075 h 1295400"/>
            <a:gd name="connsiteX33" fmla="*/ 203056 w 1549815"/>
            <a:gd name="connsiteY33" fmla="*/ 638175 h 1295400"/>
            <a:gd name="connsiteX34" fmla="*/ 184006 w 1549815"/>
            <a:gd name="connsiteY34" fmla="*/ 666750 h 1295400"/>
            <a:gd name="connsiteX35" fmla="*/ 164956 w 1549815"/>
            <a:gd name="connsiteY35" fmla="*/ 723900 h 1295400"/>
            <a:gd name="connsiteX36" fmla="*/ 174481 w 1549815"/>
            <a:gd name="connsiteY36" fmla="*/ 752475 h 1295400"/>
            <a:gd name="connsiteX37" fmla="*/ 231631 w 1549815"/>
            <a:gd name="connsiteY37" fmla="*/ 790575 h 1295400"/>
            <a:gd name="connsiteX38" fmla="*/ 260206 w 1549815"/>
            <a:gd name="connsiteY38" fmla="*/ 847725 h 1295400"/>
            <a:gd name="connsiteX39" fmla="*/ 269731 w 1549815"/>
            <a:gd name="connsiteY39" fmla="*/ 914400 h 1295400"/>
            <a:gd name="connsiteX40" fmla="*/ 298306 w 1549815"/>
            <a:gd name="connsiteY40" fmla="*/ 923925 h 1295400"/>
            <a:gd name="connsiteX41" fmla="*/ 345931 w 1549815"/>
            <a:gd name="connsiteY41" fmla="*/ 933450 h 1295400"/>
            <a:gd name="connsiteX42" fmla="*/ 374506 w 1549815"/>
            <a:gd name="connsiteY42" fmla="*/ 942975 h 1295400"/>
            <a:gd name="connsiteX43" fmla="*/ 412606 w 1549815"/>
            <a:gd name="connsiteY43" fmla="*/ 952500 h 1295400"/>
            <a:gd name="connsiteX44" fmla="*/ 364981 w 1549815"/>
            <a:gd name="connsiteY44" fmla="*/ 1038225 h 1295400"/>
            <a:gd name="connsiteX45" fmla="*/ 307831 w 1549815"/>
            <a:gd name="connsiteY45" fmla="*/ 1057275 h 1295400"/>
            <a:gd name="connsiteX46" fmla="*/ 279256 w 1549815"/>
            <a:gd name="connsiteY46" fmla="*/ 1066800 h 1295400"/>
            <a:gd name="connsiteX47" fmla="*/ 250681 w 1549815"/>
            <a:gd name="connsiteY47" fmla="*/ 1085850 h 1295400"/>
            <a:gd name="connsiteX48" fmla="*/ 31606 w 1549815"/>
            <a:gd name="connsiteY48" fmla="*/ 1114425 h 1295400"/>
            <a:gd name="connsiteX49" fmla="*/ 3031 w 1549815"/>
            <a:gd name="connsiteY49" fmla="*/ 1123950 h 1295400"/>
            <a:gd name="connsiteX50" fmla="*/ 41131 w 1549815"/>
            <a:gd name="connsiteY50" fmla="*/ 1162050 h 1295400"/>
            <a:gd name="connsiteX51" fmla="*/ 279256 w 1549815"/>
            <a:gd name="connsiteY51" fmla="*/ 1152525 h 1295400"/>
            <a:gd name="connsiteX52" fmla="*/ 336406 w 1549815"/>
            <a:gd name="connsiteY52" fmla="*/ 1123950 h 1295400"/>
            <a:gd name="connsiteX53" fmla="*/ 364981 w 1549815"/>
            <a:gd name="connsiteY53" fmla="*/ 1114425 h 1295400"/>
            <a:gd name="connsiteX54" fmla="*/ 384031 w 1549815"/>
            <a:gd name="connsiteY54" fmla="*/ 1085850 h 1295400"/>
            <a:gd name="connsiteX55" fmla="*/ 469756 w 1549815"/>
            <a:gd name="connsiteY55" fmla="*/ 1047750 h 1295400"/>
            <a:gd name="connsiteX56" fmla="*/ 507856 w 1549815"/>
            <a:gd name="connsiteY56" fmla="*/ 1038225 h 1295400"/>
            <a:gd name="connsiteX57" fmla="*/ 555481 w 1549815"/>
            <a:gd name="connsiteY57" fmla="*/ 1028700 h 1295400"/>
            <a:gd name="connsiteX58" fmla="*/ 584056 w 1549815"/>
            <a:gd name="connsiteY58" fmla="*/ 1019175 h 1295400"/>
            <a:gd name="connsiteX59" fmla="*/ 612631 w 1549815"/>
            <a:gd name="connsiteY59" fmla="*/ 942975 h 1295400"/>
            <a:gd name="connsiteX60" fmla="*/ 669781 w 1549815"/>
            <a:gd name="connsiteY60" fmla="*/ 885825 h 1295400"/>
            <a:gd name="connsiteX61" fmla="*/ 688831 w 1549815"/>
            <a:gd name="connsiteY61" fmla="*/ 857250 h 1295400"/>
            <a:gd name="connsiteX62" fmla="*/ 717406 w 1549815"/>
            <a:gd name="connsiteY62" fmla="*/ 847725 h 1295400"/>
            <a:gd name="connsiteX63" fmla="*/ 745981 w 1549815"/>
            <a:gd name="connsiteY63" fmla="*/ 819150 h 1295400"/>
            <a:gd name="connsiteX64" fmla="*/ 736456 w 1549815"/>
            <a:gd name="connsiteY64" fmla="*/ 904875 h 1295400"/>
            <a:gd name="connsiteX65" fmla="*/ 726931 w 1549815"/>
            <a:gd name="connsiteY65" fmla="*/ 952500 h 1295400"/>
            <a:gd name="connsiteX66" fmla="*/ 755506 w 1549815"/>
            <a:gd name="connsiteY66" fmla="*/ 962025 h 1295400"/>
            <a:gd name="connsiteX67" fmla="*/ 803131 w 1549815"/>
            <a:gd name="connsiteY67" fmla="*/ 914400 h 1295400"/>
            <a:gd name="connsiteX68" fmla="*/ 822181 w 1549815"/>
            <a:gd name="connsiteY68" fmla="*/ 885825 h 1295400"/>
            <a:gd name="connsiteX69" fmla="*/ 831706 w 1549815"/>
            <a:gd name="connsiteY69" fmla="*/ 857250 h 1295400"/>
            <a:gd name="connsiteX70" fmla="*/ 860281 w 1549815"/>
            <a:gd name="connsiteY70" fmla="*/ 847725 h 1295400"/>
            <a:gd name="connsiteX71" fmla="*/ 955531 w 1549815"/>
            <a:gd name="connsiteY71" fmla="*/ 866775 h 1295400"/>
            <a:gd name="connsiteX72" fmla="*/ 993631 w 1549815"/>
            <a:gd name="connsiteY72" fmla="*/ 885825 h 1295400"/>
            <a:gd name="connsiteX73" fmla="*/ 1031731 w 1549815"/>
            <a:gd name="connsiteY73" fmla="*/ 895350 h 1295400"/>
            <a:gd name="connsiteX74" fmla="*/ 1060306 w 1549815"/>
            <a:gd name="connsiteY74" fmla="*/ 923925 h 1295400"/>
            <a:gd name="connsiteX75" fmla="*/ 1088881 w 1549815"/>
            <a:gd name="connsiteY75" fmla="*/ 933450 h 1295400"/>
            <a:gd name="connsiteX76" fmla="*/ 1098406 w 1549815"/>
            <a:gd name="connsiteY76" fmla="*/ 981075 h 1295400"/>
            <a:gd name="connsiteX77" fmla="*/ 1126981 w 1549815"/>
            <a:gd name="connsiteY77" fmla="*/ 990600 h 1295400"/>
            <a:gd name="connsiteX78" fmla="*/ 1193656 w 1549815"/>
            <a:gd name="connsiteY78" fmla="*/ 1009650 h 1295400"/>
            <a:gd name="connsiteX79" fmla="*/ 1250806 w 1549815"/>
            <a:gd name="connsiteY79" fmla="*/ 1057275 h 1295400"/>
            <a:gd name="connsiteX80" fmla="*/ 1269856 w 1549815"/>
            <a:gd name="connsiteY80" fmla="*/ 1085850 h 1295400"/>
            <a:gd name="connsiteX81" fmla="*/ 1298431 w 1549815"/>
            <a:gd name="connsiteY81" fmla="*/ 1104900 h 1295400"/>
            <a:gd name="connsiteX82" fmla="*/ 1355581 w 1549815"/>
            <a:gd name="connsiteY82" fmla="*/ 1162050 h 1295400"/>
            <a:gd name="connsiteX83" fmla="*/ 1374631 w 1549815"/>
            <a:gd name="connsiteY83" fmla="*/ 1190625 h 1295400"/>
            <a:gd name="connsiteX84" fmla="*/ 1403206 w 1549815"/>
            <a:gd name="connsiteY84" fmla="*/ 1219200 h 1295400"/>
            <a:gd name="connsiteX85" fmla="*/ 1441306 w 1549815"/>
            <a:gd name="connsiteY85" fmla="*/ 1276350 h 1295400"/>
            <a:gd name="connsiteX86" fmla="*/ 1498456 w 1549815"/>
            <a:gd name="connsiteY86" fmla="*/ 1295400 h 1295400"/>
            <a:gd name="connsiteX87" fmla="*/ 1546081 w 1549815"/>
            <a:gd name="connsiteY87" fmla="*/ 1285875 h 1295400"/>
            <a:gd name="connsiteX88" fmla="*/ 1507981 w 1549815"/>
            <a:gd name="connsiteY88" fmla="*/ 1238250 h 1295400"/>
            <a:gd name="connsiteX89" fmla="*/ 1431781 w 1549815"/>
            <a:gd name="connsiteY89" fmla="*/ 1123950 h 1295400"/>
            <a:gd name="connsiteX90" fmla="*/ 1403206 w 1549815"/>
            <a:gd name="connsiteY90" fmla="*/ 1095375 h 1295400"/>
            <a:gd name="connsiteX91" fmla="*/ 1393681 w 1549815"/>
            <a:gd name="connsiteY91" fmla="*/ 1066800 h 1295400"/>
            <a:gd name="connsiteX92" fmla="*/ 1298431 w 1549815"/>
            <a:gd name="connsiteY92" fmla="*/ 1019175 h 1295400"/>
            <a:gd name="connsiteX93" fmla="*/ 1212706 w 1549815"/>
            <a:gd name="connsiteY93" fmla="*/ 933450 h 1295400"/>
            <a:gd name="connsiteX94" fmla="*/ 1184131 w 1549815"/>
            <a:gd name="connsiteY94" fmla="*/ 923925 h 1295400"/>
            <a:gd name="connsiteX95" fmla="*/ 1136506 w 1549815"/>
            <a:gd name="connsiteY95" fmla="*/ 885825 h 1295400"/>
            <a:gd name="connsiteX96" fmla="*/ 1203181 w 1549815"/>
            <a:gd name="connsiteY96" fmla="*/ 152400 h 1295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Lst>
          <a:rect l="l" t="t" r="r" b="b"/>
          <a:pathLst>
            <a:path w="1549815" h="1295400">
              <a:moveTo>
                <a:pt x="1203181" y="152400"/>
              </a:moveTo>
              <a:lnTo>
                <a:pt x="1203181" y="152400"/>
              </a:lnTo>
              <a:cubicBezTo>
                <a:pt x="1097854" y="128994"/>
                <a:pt x="1145226" y="142607"/>
                <a:pt x="1060306" y="114300"/>
              </a:cubicBezTo>
              <a:lnTo>
                <a:pt x="1031731" y="104775"/>
              </a:lnTo>
              <a:lnTo>
                <a:pt x="1003156" y="95250"/>
              </a:lnTo>
              <a:lnTo>
                <a:pt x="946006" y="57150"/>
              </a:lnTo>
              <a:cubicBezTo>
                <a:pt x="936481" y="50800"/>
                <a:pt x="935051" y="36670"/>
                <a:pt x="926956" y="28575"/>
              </a:cubicBezTo>
              <a:cubicBezTo>
                <a:pt x="908492" y="10111"/>
                <a:pt x="893047" y="7747"/>
                <a:pt x="869806" y="0"/>
              </a:cubicBezTo>
              <a:lnTo>
                <a:pt x="774556" y="9525"/>
              </a:lnTo>
              <a:cubicBezTo>
                <a:pt x="681306" y="19341"/>
                <a:pt x="715249" y="10244"/>
                <a:pt x="660256" y="28575"/>
              </a:cubicBezTo>
              <a:cubicBezTo>
                <a:pt x="642311" y="46520"/>
                <a:pt x="626976" y="65591"/>
                <a:pt x="603106" y="76200"/>
              </a:cubicBezTo>
              <a:cubicBezTo>
                <a:pt x="584756" y="84355"/>
                <a:pt x="545956" y="95250"/>
                <a:pt x="545956" y="95250"/>
              </a:cubicBezTo>
              <a:cubicBezTo>
                <a:pt x="514206" y="92075"/>
                <a:pt x="481490" y="77329"/>
                <a:pt x="450706" y="85725"/>
              </a:cubicBezTo>
              <a:cubicBezTo>
                <a:pt x="438076" y="89169"/>
                <a:pt x="439878" y="110799"/>
                <a:pt x="441181" y="123825"/>
              </a:cubicBezTo>
              <a:cubicBezTo>
                <a:pt x="447857" y="190586"/>
                <a:pt x="457190" y="168901"/>
                <a:pt x="488806" y="209550"/>
              </a:cubicBezTo>
              <a:cubicBezTo>
                <a:pt x="548643" y="286483"/>
                <a:pt x="500163" y="248871"/>
                <a:pt x="555481" y="285750"/>
              </a:cubicBezTo>
              <a:cubicBezTo>
                <a:pt x="561831" y="295275"/>
                <a:pt x="577307" y="303219"/>
                <a:pt x="574531" y="314325"/>
              </a:cubicBezTo>
              <a:cubicBezTo>
                <a:pt x="572096" y="324065"/>
                <a:pt x="555996" y="323850"/>
                <a:pt x="545956" y="323850"/>
              </a:cubicBezTo>
              <a:cubicBezTo>
                <a:pt x="523505" y="323850"/>
                <a:pt x="501506" y="317500"/>
                <a:pt x="479281" y="314325"/>
              </a:cubicBezTo>
              <a:cubicBezTo>
                <a:pt x="416936" y="293543"/>
                <a:pt x="478126" y="322407"/>
                <a:pt x="441181" y="276225"/>
              </a:cubicBezTo>
              <a:cubicBezTo>
                <a:pt x="434030" y="267286"/>
                <a:pt x="422131" y="263525"/>
                <a:pt x="412606" y="257175"/>
              </a:cubicBezTo>
              <a:cubicBezTo>
                <a:pt x="399906" y="260350"/>
                <a:pt x="387045" y="262938"/>
                <a:pt x="374506" y="266700"/>
              </a:cubicBezTo>
              <a:cubicBezTo>
                <a:pt x="355272" y="272470"/>
                <a:pt x="317356" y="285750"/>
                <a:pt x="317356" y="285750"/>
              </a:cubicBezTo>
              <a:cubicBezTo>
                <a:pt x="314181" y="295275"/>
                <a:pt x="307831" y="304285"/>
                <a:pt x="307831" y="314325"/>
              </a:cubicBezTo>
              <a:cubicBezTo>
                <a:pt x="307831" y="358251"/>
                <a:pt x="305147" y="396442"/>
                <a:pt x="345931" y="419100"/>
              </a:cubicBezTo>
              <a:cubicBezTo>
                <a:pt x="363484" y="428852"/>
                <a:pt x="384031" y="431800"/>
                <a:pt x="403081" y="438150"/>
              </a:cubicBezTo>
              <a:lnTo>
                <a:pt x="431656" y="447675"/>
              </a:lnTo>
              <a:cubicBezTo>
                <a:pt x="450694" y="476232"/>
                <a:pt x="470682" y="492099"/>
                <a:pt x="441181" y="533400"/>
              </a:cubicBezTo>
              <a:cubicBezTo>
                <a:pt x="433572" y="544052"/>
                <a:pt x="415781" y="539750"/>
                <a:pt x="403081" y="542925"/>
              </a:cubicBezTo>
              <a:cubicBezTo>
                <a:pt x="355581" y="519175"/>
                <a:pt x="373112" y="518194"/>
                <a:pt x="317356" y="533400"/>
              </a:cubicBezTo>
              <a:cubicBezTo>
                <a:pt x="297983" y="538684"/>
                <a:pt x="260206" y="552450"/>
                <a:pt x="260206" y="552450"/>
              </a:cubicBezTo>
              <a:cubicBezTo>
                <a:pt x="250681" y="558800"/>
                <a:pt x="238782" y="562561"/>
                <a:pt x="231631" y="571500"/>
              </a:cubicBezTo>
              <a:cubicBezTo>
                <a:pt x="225359" y="579340"/>
                <a:pt x="226061" y="590847"/>
                <a:pt x="222106" y="600075"/>
              </a:cubicBezTo>
              <a:cubicBezTo>
                <a:pt x="216513" y="613126"/>
                <a:pt x="210101" y="625847"/>
                <a:pt x="203056" y="638175"/>
              </a:cubicBezTo>
              <a:cubicBezTo>
                <a:pt x="197376" y="648114"/>
                <a:pt x="188655" y="656289"/>
                <a:pt x="184006" y="666750"/>
              </a:cubicBezTo>
              <a:cubicBezTo>
                <a:pt x="175851" y="685100"/>
                <a:pt x="164956" y="723900"/>
                <a:pt x="164956" y="723900"/>
              </a:cubicBezTo>
              <a:cubicBezTo>
                <a:pt x="168131" y="733425"/>
                <a:pt x="168912" y="744121"/>
                <a:pt x="174481" y="752475"/>
              </a:cubicBezTo>
              <a:cubicBezTo>
                <a:pt x="194866" y="783053"/>
                <a:pt x="201673" y="780589"/>
                <a:pt x="231631" y="790575"/>
              </a:cubicBezTo>
              <a:cubicBezTo>
                <a:pt x="247686" y="814657"/>
                <a:pt x="254572" y="819557"/>
                <a:pt x="260206" y="847725"/>
              </a:cubicBezTo>
              <a:cubicBezTo>
                <a:pt x="264609" y="869740"/>
                <a:pt x="259691" y="894320"/>
                <a:pt x="269731" y="914400"/>
              </a:cubicBezTo>
              <a:cubicBezTo>
                <a:pt x="274221" y="923380"/>
                <a:pt x="288566" y="921490"/>
                <a:pt x="298306" y="923925"/>
              </a:cubicBezTo>
              <a:cubicBezTo>
                <a:pt x="314012" y="927852"/>
                <a:pt x="330225" y="929523"/>
                <a:pt x="345931" y="933450"/>
              </a:cubicBezTo>
              <a:cubicBezTo>
                <a:pt x="355671" y="935885"/>
                <a:pt x="364852" y="940217"/>
                <a:pt x="374506" y="942975"/>
              </a:cubicBezTo>
              <a:cubicBezTo>
                <a:pt x="387093" y="946571"/>
                <a:pt x="399906" y="949325"/>
                <a:pt x="412606" y="952500"/>
              </a:cubicBezTo>
              <a:cubicBezTo>
                <a:pt x="404219" y="977661"/>
                <a:pt x="389545" y="1030037"/>
                <a:pt x="364981" y="1038225"/>
              </a:cubicBezTo>
              <a:lnTo>
                <a:pt x="307831" y="1057275"/>
              </a:lnTo>
              <a:lnTo>
                <a:pt x="279256" y="1066800"/>
              </a:lnTo>
              <a:cubicBezTo>
                <a:pt x="269731" y="1073150"/>
                <a:pt x="261142" y="1081201"/>
                <a:pt x="250681" y="1085850"/>
              </a:cubicBezTo>
              <a:cubicBezTo>
                <a:pt x="173484" y="1120160"/>
                <a:pt x="129443" y="1108670"/>
                <a:pt x="31606" y="1114425"/>
              </a:cubicBezTo>
              <a:cubicBezTo>
                <a:pt x="22081" y="1117600"/>
                <a:pt x="7521" y="1114970"/>
                <a:pt x="3031" y="1123950"/>
              </a:cubicBezTo>
              <a:cubicBezTo>
                <a:pt x="-11483" y="1152979"/>
                <a:pt x="30245" y="1158421"/>
                <a:pt x="41131" y="1162050"/>
              </a:cubicBezTo>
              <a:cubicBezTo>
                <a:pt x="120506" y="1158875"/>
                <a:pt x="200019" y="1158185"/>
                <a:pt x="279256" y="1152525"/>
              </a:cubicBezTo>
              <a:cubicBezTo>
                <a:pt x="307188" y="1150530"/>
                <a:pt x="312593" y="1135856"/>
                <a:pt x="336406" y="1123950"/>
              </a:cubicBezTo>
              <a:cubicBezTo>
                <a:pt x="345386" y="1119460"/>
                <a:pt x="355456" y="1117600"/>
                <a:pt x="364981" y="1114425"/>
              </a:cubicBezTo>
              <a:cubicBezTo>
                <a:pt x="371331" y="1104900"/>
                <a:pt x="375936" y="1093945"/>
                <a:pt x="384031" y="1085850"/>
              </a:cubicBezTo>
              <a:cubicBezTo>
                <a:pt x="404880" y="1065001"/>
                <a:pt x="444605" y="1054038"/>
                <a:pt x="469756" y="1047750"/>
              </a:cubicBezTo>
              <a:cubicBezTo>
                <a:pt x="482456" y="1044575"/>
                <a:pt x="495077" y="1041065"/>
                <a:pt x="507856" y="1038225"/>
              </a:cubicBezTo>
              <a:cubicBezTo>
                <a:pt x="523660" y="1034713"/>
                <a:pt x="539775" y="1032627"/>
                <a:pt x="555481" y="1028700"/>
              </a:cubicBezTo>
              <a:cubicBezTo>
                <a:pt x="565221" y="1026265"/>
                <a:pt x="574531" y="1022350"/>
                <a:pt x="584056" y="1019175"/>
              </a:cubicBezTo>
              <a:cubicBezTo>
                <a:pt x="642603" y="931355"/>
                <a:pt x="557704" y="1066561"/>
                <a:pt x="612631" y="942975"/>
              </a:cubicBezTo>
              <a:cubicBezTo>
                <a:pt x="627555" y="909397"/>
                <a:pt x="642794" y="903816"/>
                <a:pt x="669781" y="885825"/>
              </a:cubicBezTo>
              <a:cubicBezTo>
                <a:pt x="676131" y="876300"/>
                <a:pt x="679892" y="864401"/>
                <a:pt x="688831" y="857250"/>
              </a:cubicBezTo>
              <a:cubicBezTo>
                <a:pt x="696671" y="850978"/>
                <a:pt x="709052" y="853294"/>
                <a:pt x="717406" y="847725"/>
              </a:cubicBezTo>
              <a:cubicBezTo>
                <a:pt x="728614" y="840253"/>
                <a:pt x="736456" y="828675"/>
                <a:pt x="745981" y="819150"/>
              </a:cubicBezTo>
              <a:cubicBezTo>
                <a:pt x="742806" y="847725"/>
                <a:pt x="740522" y="876413"/>
                <a:pt x="736456" y="904875"/>
              </a:cubicBezTo>
              <a:cubicBezTo>
                <a:pt x="734166" y="920902"/>
                <a:pt x="721811" y="937141"/>
                <a:pt x="726931" y="952500"/>
              </a:cubicBezTo>
              <a:cubicBezTo>
                <a:pt x="730106" y="962025"/>
                <a:pt x="745981" y="958850"/>
                <a:pt x="755506" y="962025"/>
              </a:cubicBezTo>
              <a:cubicBezTo>
                <a:pt x="806306" y="885825"/>
                <a:pt x="739631" y="977900"/>
                <a:pt x="803131" y="914400"/>
              </a:cubicBezTo>
              <a:cubicBezTo>
                <a:pt x="811226" y="906305"/>
                <a:pt x="817061" y="896064"/>
                <a:pt x="822181" y="885825"/>
              </a:cubicBezTo>
              <a:cubicBezTo>
                <a:pt x="826671" y="876845"/>
                <a:pt x="824606" y="864350"/>
                <a:pt x="831706" y="857250"/>
              </a:cubicBezTo>
              <a:cubicBezTo>
                <a:pt x="838806" y="850150"/>
                <a:pt x="850756" y="850900"/>
                <a:pt x="860281" y="847725"/>
              </a:cubicBezTo>
              <a:lnTo>
                <a:pt x="955531" y="866775"/>
              </a:lnTo>
              <a:cubicBezTo>
                <a:pt x="969454" y="869560"/>
                <a:pt x="980336" y="880839"/>
                <a:pt x="993631" y="885825"/>
              </a:cubicBezTo>
              <a:cubicBezTo>
                <a:pt x="1005888" y="890422"/>
                <a:pt x="1019031" y="892175"/>
                <a:pt x="1031731" y="895350"/>
              </a:cubicBezTo>
              <a:cubicBezTo>
                <a:pt x="1041256" y="904875"/>
                <a:pt x="1049098" y="916453"/>
                <a:pt x="1060306" y="923925"/>
              </a:cubicBezTo>
              <a:cubicBezTo>
                <a:pt x="1068660" y="929494"/>
                <a:pt x="1083312" y="925096"/>
                <a:pt x="1088881" y="933450"/>
              </a:cubicBezTo>
              <a:cubicBezTo>
                <a:pt x="1097861" y="946920"/>
                <a:pt x="1089426" y="967605"/>
                <a:pt x="1098406" y="981075"/>
              </a:cubicBezTo>
              <a:cubicBezTo>
                <a:pt x="1103975" y="989429"/>
                <a:pt x="1117327" y="987842"/>
                <a:pt x="1126981" y="990600"/>
              </a:cubicBezTo>
              <a:cubicBezTo>
                <a:pt x="1210702" y="1014520"/>
                <a:pt x="1125143" y="986812"/>
                <a:pt x="1193656" y="1009650"/>
              </a:cubicBezTo>
              <a:cubicBezTo>
                <a:pt x="1221753" y="1028381"/>
                <a:pt x="1227887" y="1029773"/>
                <a:pt x="1250806" y="1057275"/>
              </a:cubicBezTo>
              <a:cubicBezTo>
                <a:pt x="1258135" y="1066069"/>
                <a:pt x="1261761" y="1077755"/>
                <a:pt x="1269856" y="1085850"/>
              </a:cubicBezTo>
              <a:cubicBezTo>
                <a:pt x="1277951" y="1093945"/>
                <a:pt x="1289875" y="1097295"/>
                <a:pt x="1298431" y="1104900"/>
              </a:cubicBezTo>
              <a:cubicBezTo>
                <a:pt x="1318567" y="1122798"/>
                <a:pt x="1336531" y="1143000"/>
                <a:pt x="1355581" y="1162050"/>
              </a:cubicBezTo>
              <a:cubicBezTo>
                <a:pt x="1363676" y="1170145"/>
                <a:pt x="1367302" y="1181831"/>
                <a:pt x="1374631" y="1190625"/>
              </a:cubicBezTo>
              <a:cubicBezTo>
                <a:pt x="1383255" y="1200973"/>
                <a:pt x="1393681" y="1209675"/>
                <a:pt x="1403206" y="1219200"/>
              </a:cubicBezTo>
              <a:cubicBezTo>
                <a:pt x="1412156" y="1246050"/>
                <a:pt x="1412118" y="1260134"/>
                <a:pt x="1441306" y="1276350"/>
              </a:cubicBezTo>
              <a:cubicBezTo>
                <a:pt x="1458859" y="1286102"/>
                <a:pt x="1498456" y="1295400"/>
                <a:pt x="1498456" y="1295400"/>
              </a:cubicBezTo>
              <a:cubicBezTo>
                <a:pt x="1514331" y="1292225"/>
                <a:pt x="1534633" y="1297323"/>
                <a:pt x="1546081" y="1285875"/>
              </a:cubicBezTo>
              <a:cubicBezTo>
                <a:pt x="1564484" y="1267472"/>
                <a:pt x="1508940" y="1238889"/>
                <a:pt x="1507981" y="1238250"/>
              </a:cubicBezTo>
              <a:lnTo>
                <a:pt x="1431781" y="1123950"/>
              </a:lnTo>
              <a:cubicBezTo>
                <a:pt x="1424309" y="1112742"/>
                <a:pt x="1412731" y="1104900"/>
                <a:pt x="1403206" y="1095375"/>
              </a:cubicBezTo>
              <a:cubicBezTo>
                <a:pt x="1400031" y="1085850"/>
                <a:pt x="1400781" y="1073900"/>
                <a:pt x="1393681" y="1066800"/>
              </a:cubicBezTo>
              <a:cubicBezTo>
                <a:pt x="1355880" y="1028999"/>
                <a:pt x="1341452" y="1029930"/>
                <a:pt x="1298431" y="1019175"/>
              </a:cubicBezTo>
              <a:lnTo>
                <a:pt x="1212706" y="933450"/>
              </a:lnTo>
              <a:cubicBezTo>
                <a:pt x="1205606" y="926350"/>
                <a:pt x="1193656" y="927100"/>
                <a:pt x="1184131" y="923925"/>
              </a:cubicBezTo>
              <a:cubicBezTo>
                <a:pt x="1148084" y="899894"/>
                <a:pt x="1163651" y="912970"/>
                <a:pt x="1136506" y="885825"/>
              </a:cubicBezTo>
              <a:lnTo>
                <a:pt x="1203181" y="1524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150948</xdr:colOff>
      <xdr:row>110</xdr:row>
      <xdr:rowOff>57709</xdr:rowOff>
    </xdr:from>
    <xdr:to>
      <xdr:col>3</xdr:col>
      <xdr:colOff>39970</xdr:colOff>
      <xdr:row>112</xdr:row>
      <xdr:rowOff>88899</xdr:rowOff>
    </xdr:to>
    <xdr:grpSp>
      <xdr:nvGrpSpPr>
        <xdr:cNvPr id="25" name="Hawaii"/>
        <xdr:cNvGrpSpPr/>
      </xdr:nvGrpSpPr>
      <xdr:grpSpPr>
        <a:xfrm>
          <a:off x="874848" y="18510809"/>
          <a:ext cx="498622" cy="361390"/>
          <a:chOff x="3852863" y="15211425"/>
          <a:chExt cx="503104" cy="371475"/>
        </a:xfrm>
      </xdr:grpSpPr>
      <xdr:sp macro="" textlink="">
        <xdr:nvSpPr>
          <xdr:cNvPr id="26" name="Freeform 25"/>
          <xdr:cNvSpPr/>
        </xdr:nvSpPr>
        <xdr:spPr>
          <a:xfrm>
            <a:off x="4248101" y="15430500"/>
            <a:ext cx="107866" cy="152400"/>
          </a:xfrm>
          <a:custGeom>
            <a:avLst/>
            <a:gdLst>
              <a:gd name="connsiteX0" fmla="*/ 38149 w 107866"/>
              <a:gd name="connsiteY0" fmla="*/ 0 h 152400"/>
              <a:gd name="connsiteX1" fmla="*/ 38149 w 107866"/>
              <a:gd name="connsiteY1" fmla="*/ 0 h 152400"/>
              <a:gd name="connsiteX2" fmla="*/ 19099 w 107866"/>
              <a:gd name="connsiteY2" fmla="*/ 133350 h 152400"/>
              <a:gd name="connsiteX3" fmla="*/ 76249 w 107866"/>
              <a:gd name="connsiteY3" fmla="*/ 152400 h 152400"/>
              <a:gd name="connsiteX4" fmla="*/ 104824 w 107866"/>
              <a:gd name="connsiteY4" fmla="*/ 142875 h 152400"/>
              <a:gd name="connsiteX5" fmla="*/ 66724 w 107866"/>
              <a:gd name="connsiteY5" fmla="*/ 57150 h 152400"/>
              <a:gd name="connsiteX6" fmla="*/ 38149 w 107866"/>
              <a:gd name="connsiteY6" fmla="*/ 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07866" h="152400">
                <a:moveTo>
                  <a:pt x="38149" y="0"/>
                </a:moveTo>
                <a:lnTo>
                  <a:pt x="38149" y="0"/>
                </a:lnTo>
                <a:cubicBezTo>
                  <a:pt x="-8931" y="94161"/>
                  <a:pt x="-8931" y="49259"/>
                  <a:pt x="19099" y="133350"/>
                </a:cubicBezTo>
                <a:cubicBezTo>
                  <a:pt x="25449" y="152400"/>
                  <a:pt x="76249" y="152400"/>
                  <a:pt x="76249" y="152400"/>
                </a:cubicBezTo>
                <a:cubicBezTo>
                  <a:pt x="85774" y="149225"/>
                  <a:pt x="102066" y="152529"/>
                  <a:pt x="104824" y="142875"/>
                </a:cubicBezTo>
                <a:cubicBezTo>
                  <a:pt x="116492" y="102036"/>
                  <a:pt x="92629" y="78737"/>
                  <a:pt x="66724" y="57150"/>
                </a:cubicBezTo>
                <a:cubicBezTo>
                  <a:pt x="2102" y="3298"/>
                  <a:pt x="42912" y="9525"/>
                  <a:pt x="38149"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Freeform 26"/>
          <xdr:cNvSpPr/>
        </xdr:nvSpPr>
        <xdr:spPr>
          <a:xfrm>
            <a:off x="4124325" y="15325725"/>
            <a:ext cx="73853" cy="57280"/>
          </a:xfrm>
          <a:custGeom>
            <a:avLst/>
            <a:gdLst>
              <a:gd name="connsiteX0" fmla="*/ 0 w 73853"/>
              <a:gd name="connsiteY0" fmla="*/ 0 h 57280"/>
              <a:gd name="connsiteX1" fmla="*/ 0 w 73853"/>
              <a:gd name="connsiteY1" fmla="*/ 0 h 57280"/>
              <a:gd name="connsiteX2" fmla="*/ 66675 w 73853"/>
              <a:gd name="connsiteY2" fmla="*/ 57150 h 57280"/>
              <a:gd name="connsiteX3" fmla="*/ 57150 w 73853"/>
              <a:gd name="connsiteY3" fmla="*/ 9525 h 57280"/>
              <a:gd name="connsiteX4" fmla="*/ 0 w 73853"/>
              <a:gd name="connsiteY4" fmla="*/ 0 h 5728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73853" h="57280">
                <a:moveTo>
                  <a:pt x="0" y="0"/>
                </a:moveTo>
                <a:lnTo>
                  <a:pt x="0" y="0"/>
                </a:lnTo>
                <a:cubicBezTo>
                  <a:pt x="22225" y="19050"/>
                  <a:pt x="37801" y="52338"/>
                  <a:pt x="66675" y="57150"/>
                </a:cubicBezTo>
                <a:cubicBezTo>
                  <a:pt x="82644" y="59812"/>
                  <a:pt x="68598" y="20973"/>
                  <a:pt x="57150" y="9525"/>
                </a:cubicBezTo>
                <a:cubicBezTo>
                  <a:pt x="48170" y="545"/>
                  <a:pt x="9525" y="1588"/>
                  <a:pt x="0"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xdr:cNvSpPr/>
        </xdr:nvSpPr>
        <xdr:spPr>
          <a:xfrm>
            <a:off x="4019550" y="15268575"/>
            <a:ext cx="58310" cy="79276"/>
          </a:xfrm>
          <a:custGeom>
            <a:avLst/>
            <a:gdLst>
              <a:gd name="connsiteX0" fmla="*/ 0 w 58310"/>
              <a:gd name="connsiteY0" fmla="*/ 0 h 79276"/>
              <a:gd name="connsiteX1" fmla="*/ 0 w 58310"/>
              <a:gd name="connsiteY1" fmla="*/ 0 h 79276"/>
              <a:gd name="connsiteX2" fmla="*/ 28575 w 58310"/>
              <a:gd name="connsiteY2" fmla="*/ 76200 h 79276"/>
              <a:gd name="connsiteX3" fmla="*/ 57150 w 58310"/>
              <a:gd name="connsiteY3" fmla="*/ 66675 h 79276"/>
              <a:gd name="connsiteX4" fmla="*/ 47625 w 58310"/>
              <a:gd name="connsiteY4" fmla="*/ 28575 h 79276"/>
              <a:gd name="connsiteX5" fmla="*/ 47625 w 58310"/>
              <a:gd name="connsiteY5" fmla="*/ 19050 h 79276"/>
              <a:gd name="connsiteX6" fmla="*/ 0 w 58310"/>
              <a:gd name="connsiteY6" fmla="*/ 0 h 7927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8310" h="79276">
                <a:moveTo>
                  <a:pt x="0" y="0"/>
                </a:moveTo>
                <a:lnTo>
                  <a:pt x="0" y="0"/>
                </a:lnTo>
                <a:cubicBezTo>
                  <a:pt x="9525" y="25400"/>
                  <a:pt x="10921" y="55603"/>
                  <a:pt x="28575" y="76200"/>
                </a:cubicBezTo>
                <a:cubicBezTo>
                  <a:pt x="35109" y="83823"/>
                  <a:pt x="53421" y="75997"/>
                  <a:pt x="57150" y="66675"/>
                </a:cubicBezTo>
                <a:cubicBezTo>
                  <a:pt x="62012" y="54520"/>
                  <a:pt x="50192" y="41412"/>
                  <a:pt x="47625" y="28575"/>
                </a:cubicBezTo>
                <a:cubicBezTo>
                  <a:pt x="47002" y="25462"/>
                  <a:pt x="47625" y="22225"/>
                  <a:pt x="47625" y="19050"/>
                </a:cubicBezTo>
                <a:lnTo>
                  <a:pt x="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xdr:cNvSpPr/>
        </xdr:nvSpPr>
        <xdr:spPr>
          <a:xfrm>
            <a:off x="3852863" y="15211425"/>
            <a:ext cx="57169" cy="57150"/>
          </a:xfrm>
          <a:custGeom>
            <a:avLst/>
            <a:gdLst>
              <a:gd name="connsiteX0" fmla="*/ 0 w 57169"/>
              <a:gd name="connsiteY0" fmla="*/ 14288 h 57150"/>
              <a:gd name="connsiteX1" fmla="*/ 0 w 57169"/>
              <a:gd name="connsiteY1" fmla="*/ 14288 h 57150"/>
              <a:gd name="connsiteX2" fmla="*/ 28575 w 57169"/>
              <a:gd name="connsiteY2" fmla="*/ 57150 h 57150"/>
              <a:gd name="connsiteX3" fmla="*/ 47625 w 57169"/>
              <a:gd name="connsiteY3" fmla="*/ 52388 h 57150"/>
              <a:gd name="connsiteX4" fmla="*/ 52387 w 57169"/>
              <a:gd name="connsiteY4" fmla="*/ 9525 h 57150"/>
              <a:gd name="connsiteX5" fmla="*/ 38100 w 57169"/>
              <a:gd name="connsiteY5" fmla="*/ 0 h 57150"/>
              <a:gd name="connsiteX6" fmla="*/ 0 w 57169"/>
              <a:gd name="connsiteY6" fmla="*/ 14288 h 571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57169" h="57150">
                <a:moveTo>
                  <a:pt x="0" y="14288"/>
                </a:moveTo>
                <a:lnTo>
                  <a:pt x="0" y="14288"/>
                </a:lnTo>
                <a:cubicBezTo>
                  <a:pt x="6880" y="32636"/>
                  <a:pt x="4813" y="57150"/>
                  <a:pt x="28575" y="57150"/>
                </a:cubicBezTo>
                <a:cubicBezTo>
                  <a:pt x="35120" y="57150"/>
                  <a:pt x="41275" y="53975"/>
                  <a:pt x="47625" y="52388"/>
                </a:cubicBezTo>
                <a:cubicBezTo>
                  <a:pt x="52201" y="38659"/>
                  <a:pt x="63593" y="23533"/>
                  <a:pt x="52387" y="9525"/>
                </a:cubicBezTo>
                <a:cubicBezTo>
                  <a:pt x="48811" y="5056"/>
                  <a:pt x="42862" y="3175"/>
                  <a:pt x="38100" y="0"/>
                </a:cubicBezTo>
                <a:cubicBezTo>
                  <a:pt x="14694" y="5852"/>
                  <a:pt x="6350" y="11907"/>
                  <a:pt x="0" y="14288"/>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24603</xdr:colOff>
      <xdr:row>100</xdr:row>
      <xdr:rowOff>142969</xdr:rowOff>
    </xdr:from>
    <xdr:to>
      <xdr:col>10</xdr:col>
      <xdr:colOff>220425</xdr:colOff>
      <xdr:row>105</xdr:row>
      <xdr:rowOff>40248</xdr:rowOff>
    </xdr:to>
    <xdr:sp macro="" textlink="">
      <xdr:nvSpPr>
        <xdr:cNvPr id="30" name="Louisiana"/>
        <xdr:cNvSpPr/>
      </xdr:nvSpPr>
      <xdr:spPr>
        <a:xfrm>
          <a:off x="5015703" y="16792669"/>
          <a:ext cx="805422" cy="722779"/>
        </a:xfrm>
        <a:custGeom>
          <a:avLst/>
          <a:gdLst>
            <a:gd name="connsiteX0" fmla="*/ 0 w 814387"/>
            <a:gd name="connsiteY0" fmla="*/ 42862 h 742950"/>
            <a:gd name="connsiteX1" fmla="*/ 0 w 814387"/>
            <a:gd name="connsiteY1" fmla="*/ 42862 h 742950"/>
            <a:gd name="connsiteX2" fmla="*/ 19050 w 814387"/>
            <a:gd name="connsiteY2" fmla="*/ 100012 h 742950"/>
            <a:gd name="connsiteX3" fmla="*/ 23812 w 814387"/>
            <a:gd name="connsiteY3" fmla="*/ 114300 h 742950"/>
            <a:gd name="connsiteX4" fmla="*/ 28575 w 814387"/>
            <a:gd name="connsiteY4" fmla="*/ 128587 h 742950"/>
            <a:gd name="connsiteX5" fmla="*/ 42862 w 814387"/>
            <a:gd name="connsiteY5" fmla="*/ 247650 h 742950"/>
            <a:gd name="connsiteX6" fmla="*/ 57150 w 814387"/>
            <a:gd name="connsiteY6" fmla="*/ 257175 h 742950"/>
            <a:gd name="connsiteX7" fmla="*/ 71437 w 814387"/>
            <a:gd name="connsiteY7" fmla="*/ 285750 h 742950"/>
            <a:gd name="connsiteX8" fmla="*/ 80962 w 814387"/>
            <a:gd name="connsiteY8" fmla="*/ 314325 h 742950"/>
            <a:gd name="connsiteX9" fmla="*/ 95250 w 814387"/>
            <a:gd name="connsiteY9" fmla="*/ 357187 h 742950"/>
            <a:gd name="connsiteX10" fmla="*/ 109537 w 814387"/>
            <a:gd name="connsiteY10" fmla="*/ 419100 h 742950"/>
            <a:gd name="connsiteX11" fmla="*/ 100012 w 814387"/>
            <a:gd name="connsiteY11" fmla="*/ 481012 h 742950"/>
            <a:gd name="connsiteX12" fmla="*/ 90487 w 814387"/>
            <a:gd name="connsiteY12" fmla="*/ 495300 h 742950"/>
            <a:gd name="connsiteX13" fmla="*/ 76200 w 814387"/>
            <a:gd name="connsiteY13" fmla="*/ 576262 h 742950"/>
            <a:gd name="connsiteX14" fmla="*/ 71437 w 814387"/>
            <a:gd name="connsiteY14" fmla="*/ 595312 h 742950"/>
            <a:gd name="connsiteX15" fmla="*/ 66675 w 814387"/>
            <a:gd name="connsiteY15" fmla="*/ 619125 h 742950"/>
            <a:gd name="connsiteX16" fmla="*/ 71437 w 814387"/>
            <a:gd name="connsiteY16" fmla="*/ 676275 h 742950"/>
            <a:gd name="connsiteX17" fmla="*/ 85725 w 814387"/>
            <a:gd name="connsiteY17" fmla="*/ 661987 h 742950"/>
            <a:gd name="connsiteX18" fmla="*/ 138112 w 814387"/>
            <a:gd name="connsiteY18" fmla="*/ 647700 h 742950"/>
            <a:gd name="connsiteX19" fmla="*/ 209550 w 814387"/>
            <a:gd name="connsiteY19" fmla="*/ 652462 h 742950"/>
            <a:gd name="connsiteX20" fmla="*/ 228600 w 814387"/>
            <a:gd name="connsiteY20" fmla="*/ 657225 h 742950"/>
            <a:gd name="connsiteX21" fmla="*/ 314325 w 814387"/>
            <a:gd name="connsiteY21" fmla="*/ 661987 h 742950"/>
            <a:gd name="connsiteX22" fmla="*/ 342900 w 814387"/>
            <a:gd name="connsiteY22" fmla="*/ 657225 h 742950"/>
            <a:gd name="connsiteX23" fmla="*/ 347662 w 814387"/>
            <a:gd name="connsiteY23" fmla="*/ 638175 h 742950"/>
            <a:gd name="connsiteX24" fmla="*/ 361950 w 814387"/>
            <a:gd name="connsiteY24" fmla="*/ 628650 h 742950"/>
            <a:gd name="connsiteX25" fmla="*/ 390525 w 814387"/>
            <a:gd name="connsiteY25" fmla="*/ 619125 h 742950"/>
            <a:gd name="connsiteX26" fmla="*/ 423862 w 814387"/>
            <a:gd name="connsiteY26" fmla="*/ 623887 h 742950"/>
            <a:gd name="connsiteX27" fmla="*/ 438150 w 814387"/>
            <a:gd name="connsiteY27" fmla="*/ 628650 h 742950"/>
            <a:gd name="connsiteX28" fmla="*/ 452437 w 814387"/>
            <a:gd name="connsiteY28" fmla="*/ 623887 h 742950"/>
            <a:gd name="connsiteX29" fmla="*/ 438150 w 814387"/>
            <a:gd name="connsiteY29" fmla="*/ 585787 h 742950"/>
            <a:gd name="connsiteX30" fmla="*/ 433387 w 814387"/>
            <a:gd name="connsiteY30" fmla="*/ 571500 h 742950"/>
            <a:gd name="connsiteX31" fmla="*/ 457200 w 814387"/>
            <a:gd name="connsiteY31" fmla="*/ 576262 h 742950"/>
            <a:gd name="connsiteX32" fmla="*/ 471487 w 814387"/>
            <a:gd name="connsiteY32" fmla="*/ 585787 h 742950"/>
            <a:gd name="connsiteX33" fmla="*/ 481012 w 814387"/>
            <a:gd name="connsiteY33" fmla="*/ 619125 h 742950"/>
            <a:gd name="connsiteX34" fmla="*/ 490537 w 814387"/>
            <a:gd name="connsiteY34" fmla="*/ 633412 h 742950"/>
            <a:gd name="connsiteX35" fmla="*/ 485775 w 814387"/>
            <a:gd name="connsiteY35" fmla="*/ 666750 h 742950"/>
            <a:gd name="connsiteX36" fmla="*/ 485775 w 814387"/>
            <a:gd name="connsiteY36" fmla="*/ 700087 h 742950"/>
            <a:gd name="connsiteX37" fmla="*/ 500062 w 814387"/>
            <a:gd name="connsiteY37" fmla="*/ 709612 h 742950"/>
            <a:gd name="connsiteX38" fmla="*/ 514350 w 814387"/>
            <a:gd name="connsiteY38" fmla="*/ 723900 h 742950"/>
            <a:gd name="connsiteX39" fmla="*/ 542925 w 814387"/>
            <a:gd name="connsiteY39" fmla="*/ 742950 h 742950"/>
            <a:gd name="connsiteX40" fmla="*/ 557212 w 814387"/>
            <a:gd name="connsiteY40" fmla="*/ 738187 h 742950"/>
            <a:gd name="connsiteX41" fmla="*/ 566737 w 814387"/>
            <a:gd name="connsiteY41" fmla="*/ 723900 h 742950"/>
            <a:gd name="connsiteX42" fmla="*/ 581025 w 814387"/>
            <a:gd name="connsiteY42" fmla="*/ 714375 h 742950"/>
            <a:gd name="connsiteX43" fmla="*/ 614362 w 814387"/>
            <a:gd name="connsiteY43" fmla="*/ 719137 h 742950"/>
            <a:gd name="connsiteX44" fmla="*/ 633412 w 814387"/>
            <a:gd name="connsiteY44" fmla="*/ 714375 h 742950"/>
            <a:gd name="connsiteX45" fmla="*/ 657225 w 814387"/>
            <a:gd name="connsiteY45" fmla="*/ 685800 h 742950"/>
            <a:gd name="connsiteX46" fmla="*/ 652462 w 814387"/>
            <a:gd name="connsiteY46" fmla="*/ 666750 h 742950"/>
            <a:gd name="connsiteX47" fmla="*/ 647700 w 814387"/>
            <a:gd name="connsiteY47" fmla="*/ 642937 h 742950"/>
            <a:gd name="connsiteX48" fmla="*/ 638175 w 814387"/>
            <a:gd name="connsiteY48" fmla="*/ 614362 h 742950"/>
            <a:gd name="connsiteX49" fmla="*/ 661987 w 814387"/>
            <a:gd name="connsiteY49" fmla="*/ 590550 h 742950"/>
            <a:gd name="connsiteX50" fmla="*/ 676275 w 814387"/>
            <a:gd name="connsiteY50" fmla="*/ 600075 h 742950"/>
            <a:gd name="connsiteX51" fmla="*/ 695325 w 814387"/>
            <a:gd name="connsiteY51" fmla="*/ 628650 h 742950"/>
            <a:gd name="connsiteX52" fmla="*/ 704850 w 814387"/>
            <a:gd name="connsiteY52" fmla="*/ 642937 h 742950"/>
            <a:gd name="connsiteX53" fmla="*/ 747712 w 814387"/>
            <a:gd name="connsiteY53" fmla="*/ 657225 h 742950"/>
            <a:gd name="connsiteX54" fmla="*/ 762000 w 814387"/>
            <a:gd name="connsiteY54" fmla="*/ 661987 h 742950"/>
            <a:gd name="connsiteX55" fmla="*/ 776287 w 814387"/>
            <a:gd name="connsiteY55" fmla="*/ 671512 h 742950"/>
            <a:gd name="connsiteX56" fmla="*/ 781050 w 814387"/>
            <a:gd name="connsiteY56" fmla="*/ 685800 h 742950"/>
            <a:gd name="connsiteX57" fmla="*/ 809625 w 814387"/>
            <a:gd name="connsiteY57" fmla="*/ 681037 h 742950"/>
            <a:gd name="connsiteX58" fmla="*/ 814387 w 814387"/>
            <a:gd name="connsiteY58" fmla="*/ 666750 h 742950"/>
            <a:gd name="connsiteX59" fmla="*/ 809625 w 814387"/>
            <a:gd name="connsiteY59" fmla="*/ 633412 h 742950"/>
            <a:gd name="connsiteX60" fmla="*/ 785812 w 814387"/>
            <a:gd name="connsiteY60" fmla="*/ 609600 h 742950"/>
            <a:gd name="connsiteX61" fmla="*/ 771525 w 814387"/>
            <a:gd name="connsiteY61" fmla="*/ 604837 h 742950"/>
            <a:gd name="connsiteX62" fmla="*/ 757237 w 814387"/>
            <a:gd name="connsiteY62" fmla="*/ 595312 h 742950"/>
            <a:gd name="connsiteX63" fmla="*/ 752475 w 814387"/>
            <a:gd name="connsiteY63" fmla="*/ 581025 h 742950"/>
            <a:gd name="connsiteX64" fmla="*/ 776287 w 814387"/>
            <a:gd name="connsiteY64" fmla="*/ 561975 h 742950"/>
            <a:gd name="connsiteX65" fmla="*/ 776287 w 814387"/>
            <a:gd name="connsiteY65" fmla="*/ 528637 h 742950"/>
            <a:gd name="connsiteX66" fmla="*/ 762000 w 814387"/>
            <a:gd name="connsiteY66" fmla="*/ 519112 h 742950"/>
            <a:gd name="connsiteX67" fmla="*/ 723900 w 814387"/>
            <a:gd name="connsiteY67" fmla="*/ 523875 h 742950"/>
            <a:gd name="connsiteX68" fmla="*/ 681037 w 814387"/>
            <a:gd name="connsiteY68" fmla="*/ 509587 h 742950"/>
            <a:gd name="connsiteX69" fmla="*/ 614362 w 814387"/>
            <a:gd name="connsiteY69" fmla="*/ 504825 h 742950"/>
            <a:gd name="connsiteX70" fmla="*/ 576262 w 814387"/>
            <a:gd name="connsiteY70" fmla="*/ 471487 h 742950"/>
            <a:gd name="connsiteX71" fmla="*/ 652462 w 814387"/>
            <a:gd name="connsiteY71" fmla="*/ 457200 h 742950"/>
            <a:gd name="connsiteX72" fmla="*/ 681037 w 814387"/>
            <a:gd name="connsiteY72" fmla="*/ 466725 h 742950"/>
            <a:gd name="connsiteX73" fmla="*/ 695325 w 814387"/>
            <a:gd name="connsiteY73" fmla="*/ 476250 h 742950"/>
            <a:gd name="connsiteX74" fmla="*/ 709612 w 814387"/>
            <a:gd name="connsiteY74" fmla="*/ 481012 h 742950"/>
            <a:gd name="connsiteX75" fmla="*/ 719137 w 814387"/>
            <a:gd name="connsiteY75" fmla="*/ 466725 h 742950"/>
            <a:gd name="connsiteX76" fmla="*/ 714375 w 814387"/>
            <a:gd name="connsiteY76" fmla="*/ 423862 h 742950"/>
            <a:gd name="connsiteX77" fmla="*/ 709612 w 814387"/>
            <a:gd name="connsiteY77" fmla="*/ 409575 h 742950"/>
            <a:gd name="connsiteX78" fmla="*/ 695325 w 814387"/>
            <a:gd name="connsiteY78" fmla="*/ 395287 h 742950"/>
            <a:gd name="connsiteX79" fmla="*/ 690562 w 814387"/>
            <a:gd name="connsiteY79" fmla="*/ 381000 h 742950"/>
            <a:gd name="connsiteX80" fmla="*/ 676275 w 814387"/>
            <a:gd name="connsiteY80" fmla="*/ 352425 h 742950"/>
            <a:gd name="connsiteX81" fmla="*/ 676275 w 814387"/>
            <a:gd name="connsiteY81" fmla="*/ 338137 h 742950"/>
            <a:gd name="connsiteX82" fmla="*/ 414337 w 814387"/>
            <a:gd name="connsiteY82" fmla="*/ 376237 h 742950"/>
            <a:gd name="connsiteX83" fmla="*/ 395287 w 814387"/>
            <a:gd name="connsiteY83" fmla="*/ 338137 h 742950"/>
            <a:gd name="connsiteX84" fmla="*/ 400050 w 814387"/>
            <a:gd name="connsiteY84" fmla="*/ 323850 h 742950"/>
            <a:gd name="connsiteX85" fmla="*/ 404812 w 814387"/>
            <a:gd name="connsiteY85" fmla="*/ 304800 h 742950"/>
            <a:gd name="connsiteX86" fmla="*/ 423862 w 814387"/>
            <a:gd name="connsiteY86" fmla="*/ 257175 h 742950"/>
            <a:gd name="connsiteX87" fmla="*/ 438150 w 814387"/>
            <a:gd name="connsiteY87" fmla="*/ 228600 h 742950"/>
            <a:gd name="connsiteX88" fmla="*/ 442912 w 814387"/>
            <a:gd name="connsiteY88" fmla="*/ 214312 h 742950"/>
            <a:gd name="connsiteX89" fmla="*/ 452437 w 814387"/>
            <a:gd name="connsiteY89" fmla="*/ 200025 h 742950"/>
            <a:gd name="connsiteX90" fmla="*/ 442912 w 814387"/>
            <a:gd name="connsiteY90" fmla="*/ 57150 h 742950"/>
            <a:gd name="connsiteX91" fmla="*/ 433387 w 814387"/>
            <a:gd name="connsiteY91" fmla="*/ 0 h 742950"/>
            <a:gd name="connsiteX92" fmla="*/ 0 w 814387"/>
            <a:gd name="connsiteY92" fmla="*/ 42862 h 742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Lst>
          <a:rect l="l" t="t" r="r" b="b"/>
          <a:pathLst>
            <a:path w="814387" h="742950">
              <a:moveTo>
                <a:pt x="0" y="42862"/>
              </a:moveTo>
              <a:lnTo>
                <a:pt x="0" y="42862"/>
              </a:lnTo>
              <a:lnTo>
                <a:pt x="19050" y="100012"/>
              </a:lnTo>
              <a:lnTo>
                <a:pt x="23812" y="114300"/>
              </a:lnTo>
              <a:lnTo>
                <a:pt x="28575" y="128587"/>
              </a:lnTo>
              <a:cubicBezTo>
                <a:pt x="33865" y="229101"/>
                <a:pt x="23786" y="190421"/>
                <a:pt x="42862" y="247650"/>
              </a:cubicBezTo>
              <a:cubicBezTo>
                <a:pt x="44672" y="253080"/>
                <a:pt x="52387" y="254000"/>
                <a:pt x="57150" y="257175"/>
              </a:cubicBezTo>
              <a:cubicBezTo>
                <a:pt x="74514" y="309272"/>
                <a:pt x="46821" y="230364"/>
                <a:pt x="71437" y="285750"/>
              </a:cubicBezTo>
              <a:cubicBezTo>
                <a:pt x="75515" y="294925"/>
                <a:pt x="77787" y="304800"/>
                <a:pt x="80962" y="314325"/>
              </a:cubicBezTo>
              <a:lnTo>
                <a:pt x="95250" y="357187"/>
              </a:lnTo>
              <a:cubicBezTo>
                <a:pt x="100995" y="374419"/>
                <a:pt x="105760" y="400210"/>
                <a:pt x="109537" y="419100"/>
              </a:cubicBezTo>
              <a:cubicBezTo>
                <a:pt x="108170" y="432768"/>
                <a:pt x="108595" y="463846"/>
                <a:pt x="100012" y="481012"/>
              </a:cubicBezTo>
              <a:cubicBezTo>
                <a:pt x="97452" y="486132"/>
                <a:pt x="93662" y="490537"/>
                <a:pt x="90487" y="495300"/>
              </a:cubicBezTo>
              <a:cubicBezTo>
                <a:pt x="72891" y="548089"/>
                <a:pt x="86283" y="500640"/>
                <a:pt x="76200" y="576262"/>
              </a:cubicBezTo>
              <a:cubicBezTo>
                <a:pt x="75335" y="582750"/>
                <a:pt x="72857" y="588922"/>
                <a:pt x="71437" y="595312"/>
              </a:cubicBezTo>
              <a:cubicBezTo>
                <a:pt x="69681" y="603214"/>
                <a:pt x="68262" y="611187"/>
                <a:pt x="66675" y="619125"/>
              </a:cubicBezTo>
              <a:cubicBezTo>
                <a:pt x="68262" y="638175"/>
                <a:pt x="63673" y="658807"/>
                <a:pt x="71437" y="676275"/>
              </a:cubicBezTo>
              <a:cubicBezTo>
                <a:pt x="74173" y="682430"/>
                <a:pt x="79837" y="665258"/>
                <a:pt x="85725" y="661987"/>
              </a:cubicBezTo>
              <a:cubicBezTo>
                <a:pt x="99321" y="654434"/>
                <a:pt x="122722" y="650778"/>
                <a:pt x="138112" y="647700"/>
              </a:cubicBezTo>
              <a:cubicBezTo>
                <a:pt x="161925" y="649287"/>
                <a:pt x="185816" y="649964"/>
                <a:pt x="209550" y="652462"/>
              </a:cubicBezTo>
              <a:cubicBezTo>
                <a:pt x="216060" y="653147"/>
                <a:pt x="222081" y="656632"/>
                <a:pt x="228600" y="657225"/>
              </a:cubicBezTo>
              <a:cubicBezTo>
                <a:pt x="257102" y="659816"/>
                <a:pt x="285750" y="660400"/>
                <a:pt x="314325" y="661987"/>
              </a:cubicBezTo>
              <a:cubicBezTo>
                <a:pt x="323850" y="660400"/>
                <a:pt x="335042" y="662838"/>
                <a:pt x="342900" y="657225"/>
              </a:cubicBezTo>
              <a:cubicBezTo>
                <a:pt x="348226" y="653421"/>
                <a:pt x="344031" y="643621"/>
                <a:pt x="347662" y="638175"/>
              </a:cubicBezTo>
              <a:cubicBezTo>
                <a:pt x="350837" y="633412"/>
                <a:pt x="356719" y="630975"/>
                <a:pt x="361950" y="628650"/>
              </a:cubicBezTo>
              <a:cubicBezTo>
                <a:pt x="371125" y="624572"/>
                <a:pt x="390525" y="619125"/>
                <a:pt x="390525" y="619125"/>
              </a:cubicBezTo>
              <a:cubicBezTo>
                <a:pt x="401637" y="620712"/>
                <a:pt x="412855" y="621686"/>
                <a:pt x="423862" y="623887"/>
              </a:cubicBezTo>
              <a:cubicBezTo>
                <a:pt x="428785" y="624872"/>
                <a:pt x="433130" y="628650"/>
                <a:pt x="438150" y="628650"/>
              </a:cubicBezTo>
              <a:cubicBezTo>
                <a:pt x="443170" y="628650"/>
                <a:pt x="447675" y="625475"/>
                <a:pt x="452437" y="623887"/>
              </a:cubicBezTo>
              <a:cubicBezTo>
                <a:pt x="443251" y="577952"/>
                <a:pt x="454500" y="618485"/>
                <a:pt x="438150" y="585787"/>
              </a:cubicBezTo>
              <a:cubicBezTo>
                <a:pt x="435905" y="581297"/>
                <a:pt x="428897" y="573745"/>
                <a:pt x="433387" y="571500"/>
              </a:cubicBezTo>
              <a:cubicBezTo>
                <a:pt x="440627" y="567880"/>
                <a:pt x="449262" y="574675"/>
                <a:pt x="457200" y="576262"/>
              </a:cubicBezTo>
              <a:cubicBezTo>
                <a:pt x="461962" y="579437"/>
                <a:pt x="467911" y="581318"/>
                <a:pt x="471487" y="585787"/>
              </a:cubicBezTo>
              <a:cubicBezTo>
                <a:pt x="474341" y="589355"/>
                <a:pt x="480220" y="617277"/>
                <a:pt x="481012" y="619125"/>
              </a:cubicBezTo>
              <a:cubicBezTo>
                <a:pt x="483267" y="624386"/>
                <a:pt x="487362" y="628650"/>
                <a:pt x="490537" y="633412"/>
              </a:cubicBezTo>
              <a:cubicBezTo>
                <a:pt x="488950" y="644525"/>
                <a:pt x="487976" y="655743"/>
                <a:pt x="485775" y="666750"/>
              </a:cubicBezTo>
              <a:cubicBezTo>
                <a:pt x="482809" y="681582"/>
                <a:pt x="474753" y="683553"/>
                <a:pt x="485775" y="700087"/>
              </a:cubicBezTo>
              <a:cubicBezTo>
                <a:pt x="488950" y="704849"/>
                <a:pt x="495665" y="705948"/>
                <a:pt x="500062" y="709612"/>
              </a:cubicBezTo>
              <a:cubicBezTo>
                <a:pt x="505236" y="713924"/>
                <a:pt x="509033" y="719765"/>
                <a:pt x="514350" y="723900"/>
              </a:cubicBezTo>
              <a:cubicBezTo>
                <a:pt x="523386" y="730928"/>
                <a:pt x="542925" y="742950"/>
                <a:pt x="542925" y="742950"/>
              </a:cubicBezTo>
              <a:cubicBezTo>
                <a:pt x="547687" y="741362"/>
                <a:pt x="553292" y="741323"/>
                <a:pt x="557212" y="738187"/>
              </a:cubicBezTo>
              <a:cubicBezTo>
                <a:pt x="561681" y="734611"/>
                <a:pt x="562690" y="727947"/>
                <a:pt x="566737" y="723900"/>
              </a:cubicBezTo>
              <a:cubicBezTo>
                <a:pt x="570785" y="719853"/>
                <a:pt x="576262" y="717550"/>
                <a:pt x="581025" y="714375"/>
              </a:cubicBezTo>
              <a:cubicBezTo>
                <a:pt x="592137" y="715962"/>
                <a:pt x="603137" y="719137"/>
                <a:pt x="614362" y="719137"/>
              </a:cubicBezTo>
              <a:cubicBezTo>
                <a:pt x="620907" y="719137"/>
                <a:pt x="627729" y="717622"/>
                <a:pt x="633412" y="714375"/>
              </a:cubicBezTo>
              <a:cubicBezTo>
                <a:pt x="643284" y="708734"/>
                <a:pt x="651156" y="694904"/>
                <a:pt x="657225" y="685800"/>
              </a:cubicBezTo>
              <a:cubicBezTo>
                <a:pt x="655637" y="679450"/>
                <a:pt x="653882" y="673140"/>
                <a:pt x="652462" y="666750"/>
              </a:cubicBezTo>
              <a:cubicBezTo>
                <a:pt x="650706" y="658848"/>
                <a:pt x="649830" y="650747"/>
                <a:pt x="647700" y="642937"/>
              </a:cubicBezTo>
              <a:cubicBezTo>
                <a:pt x="645058" y="633251"/>
                <a:pt x="638175" y="614362"/>
                <a:pt x="638175" y="614362"/>
              </a:cubicBezTo>
              <a:cubicBezTo>
                <a:pt x="643084" y="604544"/>
                <a:pt x="645816" y="587855"/>
                <a:pt x="661987" y="590550"/>
              </a:cubicBezTo>
              <a:cubicBezTo>
                <a:pt x="667633" y="591491"/>
                <a:pt x="671512" y="596900"/>
                <a:pt x="676275" y="600075"/>
              </a:cubicBezTo>
              <a:lnTo>
                <a:pt x="695325" y="628650"/>
              </a:lnTo>
              <a:cubicBezTo>
                <a:pt x="698500" y="633412"/>
                <a:pt x="699420" y="641127"/>
                <a:pt x="704850" y="642937"/>
              </a:cubicBezTo>
              <a:lnTo>
                <a:pt x="747712" y="657225"/>
              </a:lnTo>
              <a:lnTo>
                <a:pt x="762000" y="661987"/>
              </a:lnTo>
              <a:cubicBezTo>
                <a:pt x="766762" y="665162"/>
                <a:pt x="772711" y="667043"/>
                <a:pt x="776287" y="671512"/>
              </a:cubicBezTo>
              <a:cubicBezTo>
                <a:pt x="779423" y="675432"/>
                <a:pt x="776223" y="684421"/>
                <a:pt x="781050" y="685800"/>
              </a:cubicBezTo>
              <a:cubicBezTo>
                <a:pt x="790335" y="688453"/>
                <a:pt x="800100" y="682625"/>
                <a:pt x="809625" y="681037"/>
              </a:cubicBezTo>
              <a:cubicBezTo>
                <a:pt x="811212" y="676275"/>
                <a:pt x="814387" y="671770"/>
                <a:pt x="814387" y="666750"/>
              </a:cubicBezTo>
              <a:cubicBezTo>
                <a:pt x="814387" y="655525"/>
                <a:pt x="812851" y="644164"/>
                <a:pt x="809625" y="633412"/>
              </a:cubicBezTo>
              <a:cubicBezTo>
                <a:pt x="806263" y="622206"/>
                <a:pt x="795524" y="614456"/>
                <a:pt x="785812" y="609600"/>
              </a:cubicBezTo>
              <a:cubicBezTo>
                <a:pt x="781322" y="607355"/>
                <a:pt x="776015" y="607082"/>
                <a:pt x="771525" y="604837"/>
              </a:cubicBezTo>
              <a:cubicBezTo>
                <a:pt x="766405" y="602277"/>
                <a:pt x="762000" y="598487"/>
                <a:pt x="757237" y="595312"/>
              </a:cubicBezTo>
              <a:cubicBezTo>
                <a:pt x="755650" y="590550"/>
                <a:pt x="751650" y="585977"/>
                <a:pt x="752475" y="581025"/>
              </a:cubicBezTo>
              <a:cubicBezTo>
                <a:pt x="755010" y="565818"/>
                <a:pt x="765142" y="565690"/>
                <a:pt x="776287" y="561975"/>
              </a:cubicBezTo>
              <a:cubicBezTo>
                <a:pt x="780572" y="549121"/>
                <a:pt x="785590" y="542591"/>
                <a:pt x="776287" y="528637"/>
              </a:cubicBezTo>
              <a:cubicBezTo>
                <a:pt x="773112" y="523875"/>
                <a:pt x="766762" y="522287"/>
                <a:pt x="762000" y="519112"/>
              </a:cubicBezTo>
              <a:cubicBezTo>
                <a:pt x="749300" y="520700"/>
                <a:pt x="736666" y="524787"/>
                <a:pt x="723900" y="523875"/>
              </a:cubicBezTo>
              <a:cubicBezTo>
                <a:pt x="723897" y="523875"/>
                <a:pt x="688182" y="511969"/>
                <a:pt x="681037" y="509587"/>
              </a:cubicBezTo>
              <a:cubicBezTo>
                <a:pt x="659899" y="502540"/>
                <a:pt x="636587" y="506412"/>
                <a:pt x="614362" y="504825"/>
              </a:cubicBezTo>
              <a:cubicBezTo>
                <a:pt x="581024" y="482600"/>
                <a:pt x="592137" y="495300"/>
                <a:pt x="576262" y="471487"/>
              </a:cubicBezTo>
              <a:cubicBezTo>
                <a:pt x="625810" y="446713"/>
                <a:pt x="600273" y="450676"/>
                <a:pt x="652462" y="457200"/>
              </a:cubicBezTo>
              <a:lnTo>
                <a:pt x="681037" y="466725"/>
              </a:lnTo>
              <a:cubicBezTo>
                <a:pt x="686467" y="468535"/>
                <a:pt x="690205" y="473690"/>
                <a:pt x="695325" y="476250"/>
              </a:cubicBezTo>
              <a:cubicBezTo>
                <a:pt x="699815" y="478495"/>
                <a:pt x="704850" y="479425"/>
                <a:pt x="709612" y="481012"/>
              </a:cubicBezTo>
              <a:cubicBezTo>
                <a:pt x="712787" y="476250"/>
                <a:pt x="718662" y="472429"/>
                <a:pt x="719137" y="466725"/>
              </a:cubicBezTo>
              <a:cubicBezTo>
                <a:pt x="720331" y="452399"/>
                <a:pt x="716738" y="438042"/>
                <a:pt x="714375" y="423862"/>
              </a:cubicBezTo>
              <a:cubicBezTo>
                <a:pt x="713550" y="418910"/>
                <a:pt x="712397" y="413752"/>
                <a:pt x="709612" y="409575"/>
              </a:cubicBezTo>
              <a:cubicBezTo>
                <a:pt x="705876" y="403971"/>
                <a:pt x="700087" y="400050"/>
                <a:pt x="695325" y="395287"/>
              </a:cubicBezTo>
              <a:cubicBezTo>
                <a:pt x="693737" y="390525"/>
                <a:pt x="692807" y="385490"/>
                <a:pt x="690562" y="381000"/>
              </a:cubicBezTo>
              <a:cubicBezTo>
                <a:pt x="682335" y="364546"/>
                <a:pt x="679267" y="370379"/>
                <a:pt x="676275" y="352425"/>
              </a:cubicBezTo>
              <a:cubicBezTo>
                <a:pt x="675492" y="347727"/>
                <a:pt x="676275" y="342900"/>
                <a:pt x="676275" y="338137"/>
              </a:cubicBezTo>
              <a:lnTo>
                <a:pt x="414337" y="376237"/>
              </a:lnTo>
              <a:cubicBezTo>
                <a:pt x="407987" y="363537"/>
                <a:pt x="399023" y="351836"/>
                <a:pt x="395287" y="338137"/>
              </a:cubicBezTo>
              <a:cubicBezTo>
                <a:pt x="393966" y="333294"/>
                <a:pt x="398671" y="328677"/>
                <a:pt x="400050" y="323850"/>
              </a:cubicBezTo>
              <a:cubicBezTo>
                <a:pt x="401848" y="317556"/>
                <a:pt x="402931" y="311069"/>
                <a:pt x="404812" y="304800"/>
              </a:cubicBezTo>
              <a:cubicBezTo>
                <a:pt x="419263" y="256629"/>
                <a:pt x="407951" y="294299"/>
                <a:pt x="423862" y="257175"/>
              </a:cubicBezTo>
              <a:cubicBezTo>
                <a:pt x="435692" y="229572"/>
                <a:pt x="419846" y="256054"/>
                <a:pt x="438150" y="228600"/>
              </a:cubicBezTo>
              <a:cubicBezTo>
                <a:pt x="439737" y="223837"/>
                <a:pt x="440667" y="218802"/>
                <a:pt x="442912" y="214312"/>
              </a:cubicBezTo>
              <a:cubicBezTo>
                <a:pt x="445472" y="209193"/>
                <a:pt x="452225" y="205745"/>
                <a:pt x="452437" y="200025"/>
              </a:cubicBezTo>
              <a:cubicBezTo>
                <a:pt x="457289" y="69040"/>
                <a:pt x="451408" y="125121"/>
                <a:pt x="442912" y="57150"/>
              </a:cubicBezTo>
              <a:cubicBezTo>
                <a:pt x="436091" y="2581"/>
                <a:pt x="445665" y="24554"/>
                <a:pt x="433387" y="0"/>
              </a:cubicBezTo>
              <a:lnTo>
                <a:pt x="0" y="42862"/>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429975</xdr:colOff>
      <xdr:row>101</xdr:row>
      <xdr:rowOff>120799</xdr:rowOff>
    </xdr:from>
    <xdr:to>
      <xdr:col>12</xdr:col>
      <xdr:colOff>501973</xdr:colOff>
      <xdr:row>107</xdr:row>
      <xdr:rowOff>115701</xdr:rowOff>
    </xdr:to>
    <xdr:sp macro="" textlink="">
      <xdr:nvSpPr>
        <xdr:cNvPr id="31" name="Florida"/>
        <xdr:cNvSpPr/>
      </xdr:nvSpPr>
      <xdr:spPr>
        <a:xfrm>
          <a:off x="6030675" y="16935599"/>
          <a:ext cx="1291198" cy="985502"/>
        </a:xfrm>
        <a:custGeom>
          <a:avLst/>
          <a:gdLst>
            <a:gd name="connsiteX0" fmla="*/ 38100 w 1300163"/>
            <a:gd name="connsiteY0" fmla="*/ 263283 h 1015758"/>
            <a:gd name="connsiteX1" fmla="*/ 38100 w 1300163"/>
            <a:gd name="connsiteY1" fmla="*/ 263283 h 1015758"/>
            <a:gd name="connsiteX2" fmla="*/ 71438 w 1300163"/>
            <a:gd name="connsiteY2" fmla="*/ 239470 h 1015758"/>
            <a:gd name="connsiteX3" fmla="*/ 80963 w 1300163"/>
            <a:gd name="connsiteY3" fmla="*/ 225183 h 1015758"/>
            <a:gd name="connsiteX4" fmla="*/ 119063 w 1300163"/>
            <a:gd name="connsiteY4" fmla="*/ 229945 h 1015758"/>
            <a:gd name="connsiteX5" fmla="*/ 195263 w 1300163"/>
            <a:gd name="connsiteY5" fmla="*/ 220420 h 1015758"/>
            <a:gd name="connsiteX6" fmla="*/ 209550 w 1300163"/>
            <a:gd name="connsiteY6" fmla="*/ 210895 h 1015758"/>
            <a:gd name="connsiteX7" fmla="*/ 238125 w 1300163"/>
            <a:gd name="connsiteY7" fmla="*/ 234708 h 1015758"/>
            <a:gd name="connsiteX8" fmla="*/ 252413 w 1300163"/>
            <a:gd name="connsiteY8" fmla="*/ 239470 h 1015758"/>
            <a:gd name="connsiteX9" fmla="*/ 304800 w 1300163"/>
            <a:gd name="connsiteY9" fmla="*/ 244233 h 1015758"/>
            <a:gd name="connsiteX10" fmla="*/ 333375 w 1300163"/>
            <a:gd name="connsiteY10" fmla="*/ 253758 h 1015758"/>
            <a:gd name="connsiteX11" fmla="*/ 342900 w 1300163"/>
            <a:gd name="connsiteY11" fmla="*/ 268045 h 1015758"/>
            <a:gd name="connsiteX12" fmla="*/ 357188 w 1300163"/>
            <a:gd name="connsiteY12" fmla="*/ 296620 h 1015758"/>
            <a:gd name="connsiteX13" fmla="*/ 400050 w 1300163"/>
            <a:gd name="connsiteY13" fmla="*/ 320433 h 1015758"/>
            <a:gd name="connsiteX14" fmla="*/ 428625 w 1300163"/>
            <a:gd name="connsiteY14" fmla="*/ 306145 h 1015758"/>
            <a:gd name="connsiteX15" fmla="*/ 457200 w 1300163"/>
            <a:gd name="connsiteY15" fmla="*/ 291858 h 1015758"/>
            <a:gd name="connsiteX16" fmla="*/ 481013 w 1300163"/>
            <a:gd name="connsiteY16" fmla="*/ 268045 h 1015758"/>
            <a:gd name="connsiteX17" fmla="*/ 509588 w 1300163"/>
            <a:gd name="connsiteY17" fmla="*/ 258520 h 1015758"/>
            <a:gd name="connsiteX18" fmla="*/ 533400 w 1300163"/>
            <a:gd name="connsiteY18" fmla="*/ 225183 h 1015758"/>
            <a:gd name="connsiteX19" fmla="*/ 623888 w 1300163"/>
            <a:gd name="connsiteY19" fmla="*/ 220420 h 1015758"/>
            <a:gd name="connsiteX20" fmla="*/ 642938 w 1300163"/>
            <a:gd name="connsiteY20" fmla="*/ 258520 h 1015758"/>
            <a:gd name="connsiteX21" fmla="*/ 647700 w 1300163"/>
            <a:gd name="connsiteY21" fmla="*/ 272808 h 1015758"/>
            <a:gd name="connsiteX22" fmla="*/ 657225 w 1300163"/>
            <a:gd name="connsiteY22" fmla="*/ 287095 h 1015758"/>
            <a:gd name="connsiteX23" fmla="*/ 685800 w 1300163"/>
            <a:gd name="connsiteY23" fmla="*/ 306145 h 1015758"/>
            <a:gd name="connsiteX24" fmla="*/ 714375 w 1300163"/>
            <a:gd name="connsiteY24" fmla="*/ 315670 h 1015758"/>
            <a:gd name="connsiteX25" fmla="*/ 728663 w 1300163"/>
            <a:gd name="connsiteY25" fmla="*/ 325195 h 1015758"/>
            <a:gd name="connsiteX26" fmla="*/ 738188 w 1300163"/>
            <a:gd name="connsiteY26" fmla="*/ 339483 h 1015758"/>
            <a:gd name="connsiteX27" fmla="*/ 752475 w 1300163"/>
            <a:gd name="connsiteY27" fmla="*/ 358533 h 1015758"/>
            <a:gd name="connsiteX28" fmla="*/ 766763 w 1300163"/>
            <a:gd name="connsiteY28" fmla="*/ 368058 h 1015758"/>
            <a:gd name="connsiteX29" fmla="*/ 781050 w 1300163"/>
            <a:gd name="connsiteY29" fmla="*/ 382345 h 1015758"/>
            <a:gd name="connsiteX30" fmla="*/ 809625 w 1300163"/>
            <a:gd name="connsiteY30" fmla="*/ 406158 h 1015758"/>
            <a:gd name="connsiteX31" fmla="*/ 814388 w 1300163"/>
            <a:gd name="connsiteY31" fmla="*/ 420445 h 1015758"/>
            <a:gd name="connsiteX32" fmla="*/ 819150 w 1300163"/>
            <a:gd name="connsiteY32" fmla="*/ 587133 h 1015758"/>
            <a:gd name="connsiteX33" fmla="*/ 857250 w 1300163"/>
            <a:gd name="connsiteY33" fmla="*/ 577608 h 1015758"/>
            <a:gd name="connsiteX34" fmla="*/ 862013 w 1300163"/>
            <a:gd name="connsiteY34" fmla="*/ 625233 h 1015758"/>
            <a:gd name="connsiteX35" fmla="*/ 866775 w 1300163"/>
            <a:gd name="connsiteY35" fmla="*/ 653808 h 1015758"/>
            <a:gd name="connsiteX36" fmla="*/ 914400 w 1300163"/>
            <a:gd name="connsiteY36" fmla="*/ 701433 h 1015758"/>
            <a:gd name="connsiteX37" fmla="*/ 928688 w 1300163"/>
            <a:gd name="connsiteY37" fmla="*/ 706195 h 1015758"/>
            <a:gd name="connsiteX38" fmla="*/ 942975 w 1300163"/>
            <a:gd name="connsiteY38" fmla="*/ 734770 h 1015758"/>
            <a:gd name="connsiteX39" fmla="*/ 957263 w 1300163"/>
            <a:gd name="connsiteY39" fmla="*/ 739533 h 1015758"/>
            <a:gd name="connsiteX40" fmla="*/ 985838 w 1300163"/>
            <a:gd name="connsiteY40" fmla="*/ 763345 h 1015758"/>
            <a:gd name="connsiteX41" fmla="*/ 1009650 w 1300163"/>
            <a:gd name="connsiteY41" fmla="*/ 801445 h 1015758"/>
            <a:gd name="connsiteX42" fmla="*/ 1019175 w 1300163"/>
            <a:gd name="connsiteY42" fmla="*/ 830020 h 1015758"/>
            <a:gd name="connsiteX43" fmla="*/ 1033463 w 1300163"/>
            <a:gd name="connsiteY43" fmla="*/ 868120 h 1015758"/>
            <a:gd name="connsiteX44" fmla="*/ 1062038 w 1300163"/>
            <a:gd name="connsiteY44" fmla="*/ 887170 h 1015758"/>
            <a:gd name="connsiteX45" fmla="*/ 1071563 w 1300163"/>
            <a:gd name="connsiteY45" fmla="*/ 901458 h 1015758"/>
            <a:gd name="connsiteX46" fmla="*/ 1114425 w 1300163"/>
            <a:gd name="connsiteY46" fmla="*/ 925270 h 1015758"/>
            <a:gd name="connsiteX47" fmla="*/ 1128713 w 1300163"/>
            <a:gd name="connsiteY47" fmla="*/ 934795 h 1015758"/>
            <a:gd name="connsiteX48" fmla="*/ 1157288 w 1300163"/>
            <a:gd name="connsiteY48" fmla="*/ 949083 h 1015758"/>
            <a:gd name="connsiteX49" fmla="*/ 1166813 w 1300163"/>
            <a:gd name="connsiteY49" fmla="*/ 963370 h 1015758"/>
            <a:gd name="connsiteX50" fmla="*/ 1181100 w 1300163"/>
            <a:gd name="connsiteY50" fmla="*/ 982420 h 1015758"/>
            <a:gd name="connsiteX51" fmla="*/ 1204913 w 1300163"/>
            <a:gd name="connsiteY51" fmla="*/ 1015758 h 1015758"/>
            <a:gd name="connsiteX52" fmla="*/ 1243013 w 1300163"/>
            <a:gd name="connsiteY52" fmla="*/ 1006233 h 1015758"/>
            <a:gd name="connsiteX53" fmla="*/ 1252538 w 1300163"/>
            <a:gd name="connsiteY53" fmla="*/ 991945 h 1015758"/>
            <a:gd name="connsiteX54" fmla="*/ 1266825 w 1300163"/>
            <a:gd name="connsiteY54" fmla="*/ 982420 h 1015758"/>
            <a:gd name="connsiteX55" fmla="*/ 1290638 w 1300163"/>
            <a:gd name="connsiteY55" fmla="*/ 934795 h 1015758"/>
            <a:gd name="connsiteX56" fmla="*/ 1295400 w 1300163"/>
            <a:gd name="connsiteY56" fmla="*/ 782395 h 1015758"/>
            <a:gd name="connsiteX57" fmla="*/ 1300163 w 1300163"/>
            <a:gd name="connsiteY57" fmla="*/ 744295 h 1015758"/>
            <a:gd name="connsiteX58" fmla="*/ 1290638 w 1300163"/>
            <a:gd name="connsiteY58" fmla="*/ 649045 h 1015758"/>
            <a:gd name="connsiteX59" fmla="*/ 1266825 w 1300163"/>
            <a:gd name="connsiteY59" fmla="*/ 625233 h 1015758"/>
            <a:gd name="connsiteX60" fmla="*/ 1252538 w 1300163"/>
            <a:gd name="connsiteY60" fmla="*/ 610945 h 1015758"/>
            <a:gd name="connsiteX61" fmla="*/ 1247775 w 1300163"/>
            <a:gd name="connsiteY61" fmla="*/ 596658 h 1015758"/>
            <a:gd name="connsiteX62" fmla="*/ 1243013 w 1300163"/>
            <a:gd name="connsiteY62" fmla="*/ 529983 h 1015758"/>
            <a:gd name="connsiteX63" fmla="*/ 1228725 w 1300163"/>
            <a:gd name="connsiteY63" fmla="*/ 525220 h 1015758"/>
            <a:gd name="connsiteX64" fmla="*/ 1209675 w 1300163"/>
            <a:gd name="connsiteY64" fmla="*/ 510933 h 1015758"/>
            <a:gd name="connsiteX65" fmla="*/ 1181100 w 1300163"/>
            <a:gd name="connsiteY65" fmla="*/ 491883 h 1015758"/>
            <a:gd name="connsiteX66" fmla="*/ 1166813 w 1300163"/>
            <a:gd name="connsiteY66" fmla="*/ 458545 h 1015758"/>
            <a:gd name="connsiteX67" fmla="*/ 1157288 w 1300163"/>
            <a:gd name="connsiteY67" fmla="*/ 444258 h 1015758"/>
            <a:gd name="connsiteX68" fmla="*/ 1152525 w 1300163"/>
            <a:gd name="connsiteY68" fmla="*/ 429970 h 1015758"/>
            <a:gd name="connsiteX69" fmla="*/ 1143000 w 1300163"/>
            <a:gd name="connsiteY69" fmla="*/ 415683 h 1015758"/>
            <a:gd name="connsiteX70" fmla="*/ 1133475 w 1300163"/>
            <a:gd name="connsiteY70" fmla="*/ 396633 h 1015758"/>
            <a:gd name="connsiteX71" fmla="*/ 1128713 w 1300163"/>
            <a:gd name="connsiteY71" fmla="*/ 377583 h 1015758"/>
            <a:gd name="connsiteX72" fmla="*/ 1123950 w 1300163"/>
            <a:gd name="connsiteY72" fmla="*/ 363295 h 1015758"/>
            <a:gd name="connsiteX73" fmla="*/ 1128713 w 1300163"/>
            <a:gd name="connsiteY73" fmla="*/ 349008 h 1015758"/>
            <a:gd name="connsiteX74" fmla="*/ 1152525 w 1300163"/>
            <a:gd name="connsiteY74" fmla="*/ 353770 h 1015758"/>
            <a:gd name="connsiteX75" fmla="*/ 1123950 w 1300163"/>
            <a:gd name="connsiteY75" fmla="*/ 325195 h 1015758"/>
            <a:gd name="connsiteX76" fmla="*/ 1109663 w 1300163"/>
            <a:gd name="connsiteY76" fmla="*/ 310908 h 1015758"/>
            <a:gd name="connsiteX77" fmla="*/ 1095375 w 1300163"/>
            <a:gd name="connsiteY77" fmla="*/ 282333 h 1015758"/>
            <a:gd name="connsiteX78" fmla="*/ 1090613 w 1300163"/>
            <a:gd name="connsiteY78" fmla="*/ 268045 h 1015758"/>
            <a:gd name="connsiteX79" fmla="*/ 1062038 w 1300163"/>
            <a:gd name="connsiteY79" fmla="*/ 220420 h 1015758"/>
            <a:gd name="connsiteX80" fmla="*/ 1052513 w 1300163"/>
            <a:gd name="connsiteY80" fmla="*/ 191845 h 1015758"/>
            <a:gd name="connsiteX81" fmla="*/ 1042988 w 1300163"/>
            <a:gd name="connsiteY81" fmla="*/ 163270 h 1015758"/>
            <a:gd name="connsiteX82" fmla="*/ 1038225 w 1300163"/>
            <a:gd name="connsiteY82" fmla="*/ 148983 h 1015758"/>
            <a:gd name="connsiteX83" fmla="*/ 1028700 w 1300163"/>
            <a:gd name="connsiteY83" fmla="*/ 134695 h 1015758"/>
            <a:gd name="connsiteX84" fmla="*/ 1019175 w 1300163"/>
            <a:gd name="connsiteY84" fmla="*/ 106120 h 1015758"/>
            <a:gd name="connsiteX85" fmla="*/ 1000125 w 1300163"/>
            <a:gd name="connsiteY85" fmla="*/ 77545 h 1015758"/>
            <a:gd name="connsiteX86" fmla="*/ 981075 w 1300163"/>
            <a:gd name="connsiteY86" fmla="*/ 53733 h 1015758"/>
            <a:gd name="connsiteX87" fmla="*/ 966788 w 1300163"/>
            <a:gd name="connsiteY87" fmla="*/ 58495 h 1015758"/>
            <a:gd name="connsiteX88" fmla="*/ 947738 w 1300163"/>
            <a:gd name="connsiteY88" fmla="*/ 82308 h 1015758"/>
            <a:gd name="connsiteX89" fmla="*/ 952500 w 1300163"/>
            <a:gd name="connsiteY89" fmla="*/ 39445 h 1015758"/>
            <a:gd name="connsiteX90" fmla="*/ 952500 w 1300163"/>
            <a:gd name="connsiteY90" fmla="*/ 10870 h 1015758"/>
            <a:gd name="connsiteX91" fmla="*/ 938213 w 1300163"/>
            <a:gd name="connsiteY91" fmla="*/ 1345 h 1015758"/>
            <a:gd name="connsiteX92" fmla="*/ 866775 w 1300163"/>
            <a:gd name="connsiteY92" fmla="*/ 20395 h 1015758"/>
            <a:gd name="connsiteX93" fmla="*/ 857250 w 1300163"/>
            <a:gd name="connsiteY93" fmla="*/ 34683 h 1015758"/>
            <a:gd name="connsiteX94" fmla="*/ 852488 w 1300163"/>
            <a:gd name="connsiteY94" fmla="*/ 91833 h 1015758"/>
            <a:gd name="connsiteX95" fmla="*/ 838200 w 1300163"/>
            <a:gd name="connsiteY95" fmla="*/ 77545 h 1015758"/>
            <a:gd name="connsiteX96" fmla="*/ 814388 w 1300163"/>
            <a:gd name="connsiteY96" fmla="*/ 63258 h 1015758"/>
            <a:gd name="connsiteX97" fmla="*/ 500063 w 1300163"/>
            <a:gd name="connsiteY97" fmla="*/ 110883 h 1015758"/>
            <a:gd name="connsiteX98" fmla="*/ 357188 w 1300163"/>
            <a:gd name="connsiteY98" fmla="*/ 72783 h 1015758"/>
            <a:gd name="connsiteX99" fmla="*/ 0 w 1300163"/>
            <a:gd name="connsiteY99" fmla="*/ 134695 h 1015758"/>
            <a:gd name="connsiteX100" fmla="*/ 38100 w 1300163"/>
            <a:gd name="connsiteY100" fmla="*/ 263283 h 101575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Lst>
          <a:rect l="l" t="t" r="r" b="b"/>
          <a:pathLst>
            <a:path w="1300163" h="1015758">
              <a:moveTo>
                <a:pt x="38100" y="263283"/>
              </a:moveTo>
              <a:lnTo>
                <a:pt x="38100" y="263283"/>
              </a:lnTo>
              <a:cubicBezTo>
                <a:pt x="49213" y="255345"/>
                <a:pt x="61231" y="248543"/>
                <a:pt x="71438" y="239470"/>
              </a:cubicBezTo>
              <a:cubicBezTo>
                <a:pt x="75716" y="235667"/>
                <a:pt x="75350" y="226306"/>
                <a:pt x="80963" y="225183"/>
              </a:cubicBezTo>
              <a:cubicBezTo>
                <a:pt x="93513" y="222673"/>
                <a:pt x="106363" y="228358"/>
                <a:pt x="119063" y="229945"/>
              </a:cubicBezTo>
              <a:cubicBezTo>
                <a:pt x="130887" y="229036"/>
                <a:pt x="174702" y="230701"/>
                <a:pt x="195263" y="220420"/>
              </a:cubicBezTo>
              <a:cubicBezTo>
                <a:pt x="200382" y="217860"/>
                <a:pt x="204788" y="214070"/>
                <a:pt x="209550" y="210895"/>
              </a:cubicBezTo>
              <a:cubicBezTo>
                <a:pt x="272689" y="242464"/>
                <a:pt x="193243" y="198804"/>
                <a:pt x="238125" y="234708"/>
              </a:cubicBezTo>
              <a:cubicBezTo>
                <a:pt x="242045" y="237844"/>
                <a:pt x="247443" y="238760"/>
                <a:pt x="252413" y="239470"/>
              </a:cubicBezTo>
              <a:cubicBezTo>
                <a:pt x="269771" y="241950"/>
                <a:pt x="287338" y="242645"/>
                <a:pt x="304800" y="244233"/>
              </a:cubicBezTo>
              <a:cubicBezTo>
                <a:pt x="314325" y="247408"/>
                <a:pt x="327806" y="245404"/>
                <a:pt x="333375" y="253758"/>
              </a:cubicBezTo>
              <a:cubicBezTo>
                <a:pt x="336550" y="258520"/>
                <a:pt x="340340" y="262926"/>
                <a:pt x="342900" y="268045"/>
              </a:cubicBezTo>
              <a:cubicBezTo>
                <a:pt x="349317" y="280879"/>
                <a:pt x="345056" y="286005"/>
                <a:pt x="357188" y="296620"/>
              </a:cubicBezTo>
              <a:cubicBezTo>
                <a:pt x="377342" y="314255"/>
                <a:pt x="380427" y="313891"/>
                <a:pt x="400050" y="320433"/>
              </a:cubicBezTo>
              <a:cubicBezTo>
                <a:pt x="440999" y="293135"/>
                <a:pt x="389189" y="325864"/>
                <a:pt x="428625" y="306145"/>
              </a:cubicBezTo>
              <a:cubicBezTo>
                <a:pt x="465546" y="287684"/>
                <a:pt x="421297" y="303825"/>
                <a:pt x="457200" y="291858"/>
              </a:cubicBezTo>
              <a:cubicBezTo>
                <a:pt x="465890" y="278823"/>
                <a:pt x="465972" y="274730"/>
                <a:pt x="481013" y="268045"/>
              </a:cubicBezTo>
              <a:cubicBezTo>
                <a:pt x="490188" y="263967"/>
                <a:pt x="509588" y="258520"/>
                <a:pt x="509588" y="258520"/>
              </a:cubicBezTo>
              <a:cubicBezTo>
                <a:pt x="516732" y="237088"/>
                <a:pt x="511572" y="227167"/>
                <a:pt x="533400" y="225183"/>
              </a:cubicBezTo>
              <a:cubicBezTo>
                <a:pt x="563480" y="222448"/>
                <a:pt x="593725" y="222008"/>
                <a:pt x="623888" y="220420"/>
              </a:cubicBezTo>
              <a:cubicBezTo>
                <a:pt x="630238" y="233120"/>
                <a:pt x="638448" y="245049"/>
                <a:pt x="642938" y="258520"/>
              </a:cubicBezTo>
              <a:cubicBezTo>
                <a:pt x="644525" y="263283"/>
                <a:pt x="645455" y="268318"/>
                <a:pt x="647700" y="272808"/>
              </a:cubicBezTo>
              <a:cubicBezTo>
                <a:pt x="650260" y="277927"/>
                <a:pt x="652917" y="283326"/>
                <a:pt x="657225" y="287095"/>
              </a:cubicBezTo>
              <a:cubicBezTo>
                <a:pt x="665840" y="294633"/>
                <a:pt x="676275" y="299795"/>
                <a:pt x="685800" y="306145"/>
              </a:cubicBezTo>
              <a:cubicBezTo>
                <a:pt x="694154" y="311714"/>
                <a:pt x="714375" y="315670"/>
                <a:pt x="714375" y="315670"/>
              </a:cubicBezTo>
              <a:cubicBezTo>
                <a:pt x="719138" y="318845"/>
                <a:pt x="724616" y="321148"/>
                <a:pt x="728663" y="325195"/>
              </a:cubicBezTo>
              <a:cubicBezTo>
                <a:pt x="732710" y="329242"/>
                <a:pt x="734861" y="334825"/>
                <a:pt x="738188" y="339483"/>
              </a:cubicBezTo>
              <a:cubicBezTo>
                <a:pt x="742801" y="345942"/>
                <a:pt x="746862" y="352920"/>
                <a:pt x="752475" y="358533"/>
              </a:cubicBezTo>
              <a:cubicBezTo>
                <a:pt x="756522" y="362580"/>
                <a:pt x="762366" y="364394"/>
                <a:pt x="766763" y="368058"/>
              </a:cubicBezTo>
              <a:cubicBezTo>
                <a:pt x="771937" y="372370"/>
                <a:pt x="775876" y="378033"/>
                <a:pt x="781050" y="382345"/>
              </a:cubicBezTo>
              <a:cubicBezTo>
                <a:pt x="820824" y="415490"/>
                <a:pt x="767896" y="364426"/>
                <a:pt x="809625" y="406158"/>
              </a:cubicBezTo>
              <a:cubicBezTo>
                <a:pt x="811213" y="410920"/>
                <a:pt x="814124" y="415432"/>
                <a:pt x="814388" y="420445"/>
              </a:cubicBezTo>
              <a:cubicBezTo>
                <a:pt x="817310" y="475954"/>
                <a:pt x="809490" y="532393"/>
                <a:pt x="819150" y="587133"/>
              </a:cubicBezTo>
              <a:cubicBezTo>
                <a:pt x="819788" y="590750"/>
                <a:pt x="852707" y="579122"/>
                <a:pt x="857250" y="577608"/>
              </a:cubicBezTo>
              <a:cubicBezTo>
                <a:pt x="858838" y="593483"/>
                <a:pt x="860034" y="609402"/>
                <a:pt x="862013" y="625233"/>
              </a:cubicBezTo>
              <a:cubicBezTo>
                <a:pt x="863211" y="634815"/>
                <a:pt x="863061" y="644894"/>
                <a:pt x="866775" y="653808"/>
              </a:cubicBezTo>
              <a:cubicBezTo>
                <a:pt x="878986" y="683115"/>
                <a:pt x="889489" y="684826"/>
                <a:pt x="914400" y="701433"/>
              </a:cubicBezTo>
              <a:cubicBezTo>
                <a:pt x="918577" y="704218"/>
                <a:pt x="923925" y="704608"/>
                <a:pt x="928688" y="706195"/>
              </a:cubicBezTo>
              <a:cubicBezTo>
                <a:pt x="931825" y="715608"/>
                <a:pt x="934581" y="728055"/>
                <a:pt x="942975" y="734770"/>
              </a:cubicBezTo>
              <a:cubicBezTo>
                <a:pt x="946895" y="737906"/>
                <a:pt x="952773" y="737288"/>
                <a:pt x="957263" y="739533"/>
              </a:cubicBezTo>
              <a:cubicBezTo>
                <a:pt x="970522" y="746163"/>
                <a:pt x="975306" y="752814"/>
                <a:pt x="985838" y="763345"/>
              </a:cubicBezTo>
              <a:cubicBezTo>
                <a:pt x="997173" y="797350"/>
                <a:pt x="987009" y="786351"/>
                <a:pt x="1009650" y="801445"/>
              </a:cubicBezTo>
              <a:cubicBezTo>
                <a:pt x="1012825" y="810970"/>
                <a:pt x="1017206" y="820175"/>
                <a:pt x="1019175" y="830020"/>
              </a:cubicBezTo>
              <a:cubicBezTo>
                <a:pt x="1022057" y="844430"/>
                <a:pt x="1021571" y="857715"/>
                <a:pt x="1033463" y="868120"/>
              </a:cubicBezTo>
              <a:cubicBezTo>
                <a:pt x="1042078" y="875658"/>
                <a:pt x="1062038" y="887170"/>
                <a:pt x="1062038" y="887170"/>
              </a:cubicBezTo>
              <a:cubicBezTo>
                <a:pt x="1065213" y="891933"/>
                <a:pt x="1067255" y="897689"/>
                <a:pt x="1071563" y="901458"/>
              </a:cubicBezTo>
              <a:cubicBezTo>
                <a:pt x="1091718" y="919094"/>
                <a:pt x="1094802" y="918729"/>
                <a:pt x="1114425" y="925270"/>
              </a:cubicBezTo>
              <a:cubicBezTo>
                <a:pt x="1119188" y="928445"/>
                <a:pt x="1123593" y="932235"/>
                <a:pt x="1128713" y="934795"/>
              </a:cubicBezTo>
              <a:cubicBezTo>
                <a:pt x="1168149" y="954514"/>
                <a:pt x="1116339" y="921785"/>
                <a:pt x="1157288" y="949083"/>
              </a:cubicBezTo>
              <a:cubicBezTo>
                <a:pt x="1160463" y="953845"/>
                <a:pt x="1163486" y="958712"/>
                <a:pt x="1166813" y="963370"/>
              </a:cubicBezTo>
              <a:cubicBezTo>
                <a:pt x="1171427" y="969829"/>
                <a:pt x="1177550" y="975321"/>
                <a:pt x="1181100" y="982420"/>
              </a:cubicBezTo>
              <a:cubicBezTo>
                <a:pt x="1198880" y="1017980"/>
                <a:pt x="1177766" y="1006708"/>
                <a:pt x="1204913" y="1015758"/>
              </a:cubicBezTo>
              <a:cubicBezTo>
                <a:pt x="1206095" y="1015522"/>
                <a:pt x="1238134" y="1010136"/>
                <a:pt x="1243013" y="1006233"/>
              </a:cubicBezTo>
              <a:cubicBezTo>
                <a:pt x="1247483" y="1002657"/>
                <a:pt x="1248491" y="995993"/>
                <a:pt x="1252538" y="991945"/>
              </a:cubicBezTo>
              <a:cubicBezTo>
                <a:pt x="1256585" y="987898"/>
                <a:pt x="1262063" y="985595"/>
                <a:pt x="1266825" y="982420"/>
              </a:cubicBezTo>
              <a:cubicBezTo>
                <a:pt x="1289506" y="948399"/>
                <a:pt x="1283098" y="964951"/>
                <a:pt x="1290638" y="934795"/>
              </a:cubicBezTo>
              <a:cubicBezTo>
                <a:pt x="1292225" y="883995"/>
                <a:pt x="1292862" y="833156"/>
                <a:pt x="1295400" y="782395"/>
              </a:cubicBezTo>
              <a:cubicBezTo>
                <a:pt x="1296039" y="769612"/>
                <a:pt x="1300163" y="757094"/>
                <a:pt x="1300163" y="744295"/>
              </a:cubicBezTo>
              <a:cubicBezTo>
                <a:pt x="1300163" y="742672"/>
                <a:pt x="1296700" y="667232"/>
                <a:pt x="1290638" y="649045"/>
              </a:cubicBezTo>
              <a:cubicBezTo>
                <a:pt x="1285265" y="632926"/>
                <a:pt x="1278548" y="635002"/>
                <a:pt x="1266825" y="625233"/>
              </a:cubicBezTo>
              <a:cubicBezTo>
                <a:pt x="1261651" y="620921"/>
                <a:pt x="1257300" y="615708"/>
                <a:pt x="1252538" y="610945"/>
              </a:cubicBezTo>
              <a:cubicBezTo>
                <a:pt x="1250950" y="606183"/>
                <a:pt x="1248362" y="601644"/>
                <a:pt x="1247775" y="596658"/>
              </a:cubicBezTo>
              <a:cubicBezTo>
                <a:pt x="1245172" y="574529"/>
                <a:pt x="1248754" y="551512"/>
                <a:pt x="1243013" y="529983"/>
              </a:cubicBezTo>
              <a:cubicBezTo>
                <a:pt x="1241719" y="525132"/>
                <a:pt x="1233488" y="526808"/>
                <a:pt x="1228725" y="525220"/>
              </a:cubicBezTo>
              <a:cubicBezTo>
                <a:pt x="1222375" y="520458"/>
                <a:pt x="1216178" y="515485"/>
                <a:pt x="1209675" y="510933"/>
              </a:cubicBezTo>
              <a:cubicBezTo>
                <a:pt x="1200297" y="504368"/>
                <a:pt x="1181100" y="491883"/>
                <a:pt x="1181100" y="491883"/>
              </a:cubicBezTo>
              <a:cubicBezTo>
                <a:pt x="1157185" y="456010"/>
                <a:pt x="1185266" y="501603"/>
                <a:pt x="1166813" y="458545"/>
              </a:cubicBezTo>
              <a:cubicBezTo>
                <a:pt x="1164558" y="453284"/>
                <a:pt x="1159848" y="449377"/>
                <a:pt x="1157288" y="444258"/>
              </a:cubicBezTo>
              <a:cubicBezTo>
                <a:pt x="1155043" y="439768"/>
                <a:pt x="1154770" y="434460"/>
                <a:pt x="1152525" y="429970"/>
              </a:cubicBezTo>
              <a:cubicBezTo>
                <a:pt x="1149965" y="424851"/>
                <a:pt x="1145840" y="420653"/>
                <a:pt x="1143000" y="415683"/>
              </a:cubicBezTo>
              <a:cubicBezTo>
                <a:pt x="1139478" y="409519"/>
                <a:pt x="1136650" y="402983"/>
                <a:pt x="1133475" y="396633"/>
              </a:cubicBezTo>
              <a:cubicBezTo>
                <a:pt x="1131888" y="390283"/>
                <a:pt x="1130511" y="383877"/>
                <a:pt x="1128713" y="377583"/>
              </a:cubicBezTo>
              <a:cubicBezTo>
                <a:pt x="1127334" y="372756"/>
                <a:pt x="1123950" y="368315"/>
                <a:pt x="1123950" y="363295"/>
              </a:cubicBezTo>
              <a:cubicBezTo>
                <a:pt x="1123950" y="358275"/>
                <a:pt x="1127125" y="353770"/>
                <a:pt x="1128713" y="349008"/>
              </a:cubicBezTo>
              <a:cubicBezTo>
                <a:pt x="1136650" y="350595"/>
                <a:pt x="1154113" y="361707"/>
                <a:pt x="1152525" y="353770"/>
              </a:cubicBezTo>
              <a:cubicBezTo>
                <a:pt x="1149883" y="340561"/>
                <a:pt x="1133475" y="334720"/>
                <a:pt x="1123950" y="325195"/>
              </a:cubicBezTo>
              <a:lnTo>
                <a:pt x="1109663" y="310908"/>
              </a:lnTo>
              <a:cubicBezTo>
                <a:pt x="1097688" y="274987"/>
                <a:pt x="1113843" y="319270"/>
                <a:pt x="1095375" y="282333"/>
              </a:cubicBezTo>
              <a:cubicBezTo>
                <a:pt x="1093130" y="277843"/>
                <a:pt x="1093051" y="272433"/>
                <a:pt x="1090613" y="268045"/>
              </a:cubicBezTo>
              <a:cubicBezTo>
                <a:pt x="1074638" y="239290"/>
                <a:pt x="1072333" y="246157"/>
                <a:pt x="1062038" y="220420"/>
              </a:cubicBezTo>
              <a:cubicBezTo>
                <a:pt x="1058309" y="211098"/>
                <a:pt x="1055688" y="201370"/>
                <a:pt x="1052513" y="191845"/>
              </a:cubicBezTo>
              <a:lnTo>
                <a:pt x="1042988" y="163270"/>
              </a:lnTo>
              <a:cubicBezTo>
                <a:pt x="1041401" y="158508"/>
                <a:pt x="1041010" y="153160"/>
                <a:pt x="1038225" y="148983"/>
              </a:cubicBezTo>
              <a:lnTo>
                <a:pt x="1028700" y="134695"/>
              </a:lnTo>
              <a:lnTo>
                <a:pt x="1019175" y="106120"/>
              </a:lnTo>
              <a:cubicBezTo>
                <a:pt x="1015555" y="95260"/>
                <a:pt x="1000125" y="77545"/>
                <a:pt x="1000125" y="77545"/>
              </a:cubicBezTo>
              <a:cubicBezTo>
                <a:pt x="996410" y="66400"/>
                <a:pt x="996282" y="56268"/>
                <a:pt x="981075" y="53733"/>
              </a:cubicBezTo>
              <a:cubicBezTo>
                <a:pt x="976123" y="52908"/>
                <a:pt x="971550" y="56908"/>
                <a:pt x="966788" y="58495"/>
              </a:cubicBezTo>
              <a:cubicBezTo>
                <a:pt x="955875" y="102148"/>
                <a:pt x="964525" y="107487"/>
                <a:pt x="947738" y="82308"/>
              </a:cubicBezTo>
              <a:cubicBezTo>
                <a:pt x="949325" y="68020"/>
                <a:pt x="950137" y="53625"/>
                <a:pt x="952500" y="39445"/>
              </a:cubicBezTo>
              <a:cubicBezTo>
                <a:pt x="954690" y="26305"/>
                <a:pt x="963012" y="24010"/>
                <a:pt x="952500" y="10870"/>
              </a:cubicBezTo>
              <a:cubicBezTo>
                <a:pt x="948924" y="6401"/>
                <a:pt x="942975" y="4520"/>
                <a:pt x="938213" y="1345"/>
              </a:cubicBezTo>
              <a:cubicBezTo>
                <a:pt x="839359" y="8407"/>
                <a:pt x="884707" y="-15467"/>
                <a:pt x="866775" y="20395"/>
              </a:cubicBezTo>
              <a:cubicBezTo>
                <a:pt x="864215" y="25515"/>
                <a:pt x="860425" y="29920"/>
                <a:pt x="857250" y="34683"/>
              </a:cubicBezTo>
              <a:cubicBezTo>
                <a:pt x="855663" y="53733"/>
                <a:pt x="860252" y="74365"/>
                <a:pt x="852488" y="91833"/>
              </a:cubicBezTo>
              <a:cubicBezTo>
                <a:pt x="849752" y="97988"/>
                <a:pt x="843374" y="81857"/>
                <a:pt x="838200" y="77545"/>
              </a:cubicBezTo>
              <a:cubicBezTo>
                <a:pt x="829578" y="70360"/>
                <a:pt x="823688" y="67907"/>
                <a:pt x="814388" y="63258"/>
              </a:cubicBezTo>
              <a:lnTo>
                <a:pt x="500063" y="110883"/>
              </a:lnTo>
              <a:lnTo>
                <a:pt x="357188" y="72783"/>
              </a:lnTo>
              <a:lnTo>
                <a:pt x="0" y="134695"/>
              </a:lnTo>
              <a:lnTo>
                <a:pt x="38100" y="26328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519903</xdr:colOff>
      <xdr:row>97</xdr:row>
      <xdr:rowOff>2895</xdr:rowOff>
    </xdr:from>
    <xdr:to>
      <xdr:col>10</xdr:col>
      <xdr:colOff>1099</xdr:colOff>
      <xdr:row>101</xdr:row>
      <xdr:rowOff>37085</xdr:rowOff>
    </xdr:to>
    <xdr:sp macro="" textlink="">
      <xdr:nvSpPr>
        <xdr:cNvPr id="32" name="Arkansas"/>
        <xdr:cNvSpPr/>
      </xdr:nvSpPr>
      <xdr:spPr>
        <a:xfrm>
          <a:off x="4901403" y="16157295"/>
          <a:ext cx="700396" cy="694590"/>
        </a:xfrm>
        <a:custGeom>
          <a:avLst/>
          <a:gdLst>
            <a:gd name="connsiteX0" fmla="*/ 0 w 704879"/>
            <a:gd name="connsiteY0" fmla="*/ 76200 h 714760"/>
            <a:gd name="connsiteX1" fmla="*/ 80962 w 704879"/>
            <a:gd name="connsiteY1" fmla="*/ 604837 h 714760"/>
            <a:gd name="connsiteX2" fmla="*/ 114300 w 704879"/>
            <a:gd name="connsiteY2" fmla="*/ 628650 h 714760"/>
            <a:gd name="connsiteX3" fmla="*/ 152400 w 704879"/>
            <a:gd name="connsiteY3" fmla="*/ 714375 h 714760"/>
            <a:gd name="connsiteX4" fmla="*/ 552450 w 704879"/>
            <a:gd name="connsiteY4" fmla="*/ 671512 h 714760"/>
            <a:gd name="connsiteX5" fmla="*/ 547687 w 704879"/>
            <a:gd name="connsiteY5" fmla="*/ 581025 h 714760"/>
            <a:gd name="connsiteX6" fmla="*/ 538162 w 704879"/>
            <a:gd name="connsiteY6" fmla="*/ 552450 h 714760"/>
            <a:gd name="connsiteX7" fmla="*/ 542925 w 704879"/>
            <a:gd name="connsiteY7" fmla="*/ 490537 h 714760"/>
            <a:gd name="connsiteX8" fmla="*/ 557212 w 704879"/>
            <a:gd name="connsiteY8" fmla="*/ 461962 h 714760"/>
            <a:gd name="connsiteX9" fmla="*/ 571500 w 704879"/>
            <a:gd name="connsiteY9" fmla="*/ 433387 h 714760"/>
            <a:gd name="connsiteX10" fmla="*/ 576262 w 704879"/>
            <a:gd name="connsiteY10" fmla="*/ 419100 h 714760"/>
            <a:gd name="connsiteX11" fmla="*/ 595312 w 704879"/>
            <a:gd name="connsiteY11" fmla="*/ 390525 h 714760"/>
            <a:gd name="connsiteX12" fmla="*/ 604837 w 704879"/>
            <a:gd name="connsiteY12" fmla="*/ 376237 h 714760"/>
            <a:gd name="connsiteX13" fmla="*/ 609600 w 704879"/>
            <a:gd name="connsiteY13" fmla="*/ 361950 h 714760"/>
            <a:gd name="connsiteX14" fmla="*/ 619125 w 704879"/>
            <a:gd name="connsiteY14" fmla="*/ 347662 h 714760"/>
            <a:gd name="connsiteX15" fmla="*/ 638175 w 704879"/>
            <a:gd name="connsiteY15" fmla="*/ 295275 h 714760"/>
            <a:gd name="connsiteX16" fmla="*/ 647700 w 704879"/>
            <a:gd name="connsiteY16" fmla="*/ 280987 h 714760"/>
            <a:gd name="connsiteX17" fmla="*/ 666750 w 704879"/>
            <a:gd name="connsiteY17" fmla="*/ 247650 h 714760"/>
            <a:gd name="connsiteX18" fmla="*/ 681037 w 704879"/>
            <a:gd name="connsiteY18" fmla="*/ 204787 h 714760"/>
            <a:gd name="connsiteX19" fmla="*/ 690562 w 704879"/>
            <a:gd name="connsiteY19" fmla="*/ 176212 h 714760"/>
            <a:gd name="connsiteX20" fmla="*/ 700087 w 704879"/>
            <a:gd name="connsiteY20" fmla="*/ 142875 h 714760"/>
            <a:gd name="connsiteX21" fmla="*/ 704850 w 704879"/>
            <a:gd name="connsiteY21" fmla="*/ 80962 h 714760"/>
            <a:gd name="connsiteX22" fmla="*/ 619125 w 704879"/>
            <a:gd name="connsiteY22" fmla="*/ 85725 h 714760"/>
            <a:gd name="connsiteX23" fmla="*/ 623887 w 704879"/>
            <a:gd name="connsiteY23" fmla="*/ 28575 h 714760"/>
            <a:gd name="connsiteX24" fmla="*/ 633412 w 704879"/>
            <a:gd name="connsiteY24" fmla="*/ 0 h 714760"/>
            <a:gd name="connsiteX25" fmla="*/ 0 w 704879"/>
            <a:gd name="connsiteY25" fmla="*/ 76200 h 71476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704879" h="714760">
              <a:moveTo>
                <a:pt x="0" y="76200"/>
              </a:moveTo>
              <a:lnTo>
                <a:pt x="80962" y="604837"/>
              </a:lnTo>
              <a:cubicBezTo>
                <a:pt x="92075" y="612775"/>
                <a:pt x="109814" y="615752"/>
                <a:pt x="114300" y="628650"/>
              </a:cubicBezTo>
              <a:cubicBezTo>
                <a:pt x="147977" y="725471"/>
                <a:pt x="79455" y="714375"/>
                <a:pt x="152400" y="714375"/>
              </a:cubicBezTo>
              <a:lnTo>
                <a:pt x="552450" y="671512"/>
              </a:lnTo>
              <a:cubicBezTo>
                <a:pt x="550862" y="641350"/>
                <a:pt x="551286" y="611014"/>
                <a:pt x="547687" y="581025"/>
              </a:cubicBezTo>
              <a:cubicBezTo>
                <a:pt x="546491" y="571056"/>
                <a:pt x="538162" y="552450"/>
                <a:pt x="538162" y="552450"/>
              </a:cubicBezTo>
              <a:cubicBezTo>
                <a:pt x="539750" y="531812"/>
                <a:pt x="540358" y="511076"/>
                <a:pt x="542925" y="490537"/>
              </a:cubicBezTo>
              <a:cubicBezTo>
                <a:pt x="544920" y="474577"/>
                <a:pt x="550121" y="476143"/>
                <a:pt x="557212" y="461962"/>
              </a:cubicBezTo>
              <a:cubicBezTo>
                <a:pt x="576931" y="422526"/>
                <a:pt x="544202" y="474336"/>
                <a:pt x="571500" y="433387"/>
              </a:cubicBezTo>
              <a:cubicBezTo>
                <a:pt x="573087" y="428625"/>
                <a:pt x="573824" y="423488"/>
                <a:pt x="576262" y="419100"/>
              </a:cubicBezTo>
              <a:cubicBezTo>
                <a:pt x="581821" y="409093"/>
                <a:pt x="588962" y="400050"/>
                <a:pt x="595312" y="390525"/>
              </a:cubicBezTo>
              <a:lnTo>
                <a:pt x="604837" y="376237"/>
              </a:lnTo>
              <a:cubicBezTo>
                <a:pt x="607622" y="372060"/>
                <a:pt x="607355" y="366440"/>
                <a:pt x="609600" y="361950"/>
              </a:cubicBezTo>
              <a:cubicBezTo>
                <a:pt x="612160" y="356830"/>
                <a:pt x="615950" y="352425"/>
                <a:pt x="619125" y="347662"/>
              </a:cubicBezTo>
              <a:cubicBezTo>
                <a:pt x="623571" y="334324"/>
                <a:pt x="631547" y="308530"/>
                <a:pt x="638175" y="295275"/>
              </a:cubicBezTo>
              <a:cubicBezTo>
                <a:pt x="640735" y="290155"/>
                <a:pt x="644860" y="285957"/>
                <a:pt x="647700" y="280987"/>
              </a:cubicBezTo>
              <a:cubicBezTo>
                <a:pt x="671864" y="238699"/>
                <a:pt x="643548" y="282452"/>
                <a:pt x="666750" y="247650"/>
              </a:cubicBezTo>
              <a:lnTo>
                <a:pt x="681037" y="204787"/>
              </a:lnTo>
              <a:lnTo>
                <a:pt x="690562" y="176212"/>
              </a:lnTo>
              <a:cubicBezTo>
                <a:pt x="696543" y="152292"/>
                <a:pt x="693255" y="163372"/>
                <a:pt x="700087" y="142875"/>
              </a:cubicBezTo>
              <a:cubicBezTo>
                <a:pt x="705551" y="93701"/>
                <a:pt x="704850" y="114388"/>
                <a:pt x="704850" y="80962"/>
              </a:cubicBezTo>
              <a:lnTo>
                <a:pt x="619125" y="85725"/>
              </a:lnTo>
              <a:cubicBezTo>
                <a:pt x="620712" y="66675"/>
                <a:pt x="620744" y="47431"/>
                <a:pt x="623887" y="28575"/>
              </a:cubicBezTo>
              <a:cubicBezTo>
                <a:pt x="625538" y="18671"/>
                <a:pt x="633412" y="0"/>
                <a:pt x="633412" y="0"/>
              </a:cubicBezTo>
              <a:lnTo>
                <a:pt x="0" y="762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296065</xdr:colOff>
      <xdr:row>92</xdr:row>
      <xdr:rowOff>129709</xdr:rowOff>
    </xdr:from>
    <xdr:to>
      <xdr:col>10</xdr:col>
      <xdr:colOff>82313</xdr:colOff>
      <xdr:row>97</xdr:row>
      <xdr:rowOff>83857</xdr:rowOff>
    </xdr:to>
    <xdr:sp macro="" textlink="">
      <xdr:nvSpPr>
        <xdr:cNvPr id="33" name="Missouri"/>
        <xdr:cNvSpPr/>
      </xdr:nvSpPr>
      <xdr:spPr>
        <a:xfrm>
          <a:off x="4677565" y="15458609"/>
          <a:ext cx="1005448" cy="779648"/>
        </a:xfrm>
        <a:custGeom>
          <a:avLst/>
          <a:gdLst>
            <a:gd name="connsiteX0" fmla="*/ 0 w 1014413"/>
            <a:gd name="connsiteY0" fmla="*/ 38100 h 804862"/>
            <a:gd name="connsiteX1" fmla="*/ 0 w 1014413"/>
            <a:gd name="connsiteY1" fmla="*/ 38100 h 804862"/>
            <a:gd name="connsiteX2" fmla="*/ 47625 w 1014413"/>
            <a:gd name="connsiteY2" fmla="*/ 104775 h 804862"/>
            <a:gd name="connsiteX3" fmla="*/ 71438 w 1014413"/>
            <a:gd name="connsiteY3" fmla="*/ 147637 h 804862"/>
            <a:gd name="connsiteX4" fmla="*/ 80963 w 1014413"/>
            <a:gd name="connsiteY4" fmla="*/ 161925 h 804862"/>
            <a:gd name="connsiteX5" fmla="*/ 95250 w 1014413"/>
            <a:gd name="connsiteY5" fmla="*/ 190500 h 804862"/>
            <a:gd name="connsiteX6" fmla="*/ 109538 w 1014413"/>
            <a:gd name="connsiteY6" fmla="*/ 195262 h 804862"/>
            <a:gd name="connsiteX7" fmla="*/ 123825 w 1014413"/>
            <a:gd name="connsiteY7" fmla="*/ 223837 h 804862"/>
            <a:gd name="connsiteX8" fmla="*/ 128588 w 1014413"/>
            <a:gd name="connsiteY8" fmla="*/ 261937 h 804862"/>
            <a:gd name="connsiteX9" fmla="*/ 142875 w 1014413"/>
            <a:gd name="connsiteY9" fmla="*/ 271462 h 804862"/>
            <a:gd name="connsiteX10" fmla="*/ 147638 w 1014413"/>
            <a:gd name="connsiteY10" fmla="*/ 285750 h 804862"/>
            <a:gd name="connsiteX11" fmla="*/ 166688 w 1014413"/>
            <a:gd name="connsiteY11" fmla="*/ 319087 h 804862"/>
            <a:gd name="connsiteX12" fmla="*/ 176213 w 1014413"/>
            <a:gd name="connsiteY12" fmla="*/ 352425 h 804862"/>
            <a:gd name="connsiteX13" fmla="*/ 180975 w 1014413"/>
            <a:gd name="connsiteY13" fmla="*/ 452437 h 804862"/>
            <a:gd name="connsiteX14" fmla="*/ 185738 w 1014413"/>
            <a:gd name="connsiteY14" fmla="*/ 466725 h 804862"/>
            <a:gd name="connsiteX15" fmla="*/ 195263 w 1014413"/>
            <a:gd name="connsiteY15" fmla="*/ 514350 h 804862"/>
            <a:gd name="connsiteX16" fmla="*/ 200025 w 1014413"/>
            <a:gd name="connsiteY16" fmla="*/ 547687 h 804862"/>
            <a:gd name="connsiteX17" fmla="*/ 204788 w 1014413"/>
            <a:gd name="connsiteY17" fmla="*/ 590550 h 804862"/>
            <a:gd name="connsiteX18" fmla="*/ 209550 w 1014413"/>
            <a:gd name="connsiteY18" fmla="*/ 609600 h 804862"/>
            <a:gd name="connsiteX19" fmla="*/ 214313 w 1014413"/>
            <a:gd name="connsiteY19" fmla="*/ 661987 h 804862"/>
            <a:gd name="connsiteX20" fmla="*/ 214313 w 1014413"/>
            <a:gd name="connsiteY20" fmla="*/ 738187 h 804862"/>
            <a:gd name="connsiteX21" fmla="*/ 223838 w 1014413"/>
            <a:gd name="connsiteY21" fmla="*/ 766762 h 804862"/>
            <a:gd name="connsiteX22" fmla="*/ 228600 w 1014413"/>
            <a:gd name="connsiteY22" fmla="*/ 781050 h 804862"/>
            <a:gd name="connsiteX23" fmla="*/ 233363 w 1014413"/>
            <a:gd name="connsiteY23" fmla="*/ 800100 h 804862"/>
            <a:gd name="connsiteX24" fmla="*/ 862013 w 1014413"/>
            <a:gd name="connsiteY24" fmla="*/ 723900 h 804862"/>
            <a:gd name="connsiteX25" fmla="*/ 852488 w 1014413"/>
            <a:gd name="connsiteY25" fmla="*/ 804862 h 804862"/>
            <a:gd name="connsiteX26" fmla="*/ 928688 w 1014413"/>
            <a:gd name="connsiteY26" fmla="*/ 795337 h 804862"/>
            <a:gd name="connsiteX27" fmla="*/ 962025 w 1014413"/>
            <a:gd name="connsiteY27" fmla="*/ 742950 h 804862"/>
            <a:gd name="connsiteX28" fmla="*/ 985838 w 1014413"/>
            <a:gd name="connsiteY28" fmla="*/ 704850 h 804862"/>
            <a:gd name="connsiteX29" fmla="*/ 1004888 w 1014413"/>
            <a:gd name="connsiteY29" fmla="*/ 676275 h 804862"/>
            <a:gd name="connsiteX30" fmla="*/ 1014413 w 1014413"/>
            <a:gd name="connsiteY30" fmla="*/ 661987 h 804862"/>
            <a:gd name="connsiteX31" fmla="*/ 1009650 w 1014413"/>
            <a:gd name="connsiteY31" fmla="*/ 604837 h 804862"/>
            <a:gd name="connsiteX32" fmla="*/ 1004888 w 1014413"/>
            <a:gd name="connsiteY32" fmla="*/ 585787 h 804862"/>
            <a:gd name="connsiteX33" fmla="*/ 990600 w 1014413"/>
            <a:gd name="connsiteY33" fmla="*/ 581025 h 804862"/>
            <a:gd name="connsiteX34" fmla="*/ 952500 w 1014413"/>
            <a:gd name="connsiteY34" fmla="*/ 571500 h 804862"/>
            <a:gd name="connsiteX35" fmla="*/ 938213 w 1014413"/>
            <a:gd name="connsiteY35" fmla="*/ 561975 h 804862"/>
            <a:gd name="connsiteX36" fmla="*/ 928688 w 1014413"/>
            <a:gd name="connsiteY36" fmla="*/ 533400 h 804862"/>
            <a:gd name="connsiteX37" fmla="*/ 914400 w 1014413"/>
            <a:gd name="connsiteY37" fmla="*/ 490537 h 804862"/>
            <a:gd name="connsiteX38" fmla="*/ 909638 w 1014413"/>
            <a:gd name="connsiteY38" fmla="*/ 476250 h 804862"/>
            <a:gd name="connsiteX39" fmla="*/ 900113 w 1014413"/>
            <a:gd name="connsiteY39" fmla="*/ 461962 h 804862"/>
            <a:gd name="connsiteX40" fmla="*/ 890588 w 1014413"/>
            <a:gd name="connsiteY40" fmla="*/ 442912 h 804862"/>
            <a:gd name="connsiteX41" fmla="*/ 876300 w 1014413"/>
            <a:gd name="connsiteY41" fmla="*/ 438150 h 804862"/>
            <a:gd name="connsiteX42" fmla="*/ 842963 w 1014413"/>
            <a:gd name="connsiteY42" fmla="*/ 433387 h 804862"/>
            <a:gd name="connsiteX43" fmla="*/ 828675 w 1014413"/>
            <a:gd name="connsiteY43" fmla="*/ 428625 h 804862"/>
            <a:gd name="connsiteX44" fmla="*/ 804863 w 1014413"/>
            <a:gd name="connsiteY44" fmla="*/ 400050 h 804862"/>
            <a:gd name="connsiteX45" fmla="*/ 795338 w 1014413"/>
            <a:gd name="connsiteY45" fmla="*/ 371475 h 804862"/>
            <a:gd name="connsiteX46" fmla="*/ 747713 w 1014413"/>
            <a:gd name="connsiteY46" fmla="*/ 271462 h 804862"/>
            <a:gd name="connsiteX47" fmla="*/ 728663 w 1014413"/>
            <a:gd name="connsiteY47" fmla="*/ 290512 h 804862"/>
            <a:gd name="connsiteX48" fmla="*/ 719138 w 1014413"/>
            <a:gd name="connsiteY48" fmla="*/ 252412 h 804862"/>
            <a:gd name="connsiteX49" fmla="*/ 695325 w 1014413"/>
            <a:gd name="connsiteY49" fmla="*/ 209550 h 804862"/>
            <a:gd name="connsiteX50" fmla="*/ 671513 w 1014413"/>
            <a:gd name="connsiteY50" fmla="*/ 185737 h 804862"/>
            <a:gd name="connsiteX51" fmla="*/ 652463 w 1014413"/>
            <a:gd name="connsiteY51" fmla="*/ 157162 h 804862"/>
            <a:gd name="connsiteX52" fmla="*/ 647700 w 1014413"/>
            <a:gd name="connsiteY52" fmla="*/ 142875 h 804862"/>
            <a:gd name="connsiteX53" fmla="*/ 619125 w 1014413"/>
            <a:gd name="connsiteY53" fmla="*/ 109537 h 804862"/>
            <a:gd name="connsiteX54" fmla="*/ 600075 w 1014413"/>
            <a:gd name="connsiteY54" fmla="*/ 66675 h 804862"/>
            <a:gd name="connsiteX55" fmla="*/ 590550 w 1014413"/>
            <a:gd name="connsiteY55" fmla="*/ 28575 h 804862"/>
            <a:gd name="connsiteX56" fmla="*/ 576263 w 1014413"/>
            <a:gd name="connsiteY56" fmla="*/ 23812 h 804862"/>
            <a:gd name="connsiteX57" fmla="*/ 542925 w 1014413"/>
            <a:gd name="connsiteY57" fmla="*/ 0 h 804862"/>
            <a:gd name="connsiteX58" fmla="*/ 0 w 1014413"/>
            <a:gd name="connsiteY58" fmla="*/ 38100 h 8048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1014413" h="804862">
              <a:moveTo>
                <a:pt x="0" y="38100"/>
              </a:moveTo>
              <a:lnTo>
                <a:pt x="0" y="38100"/>
              </a:lnTo>
              <a:cubicBezTo>
                <a:pt x="36954" y="96169"/>
                <a:pt x="18703" y="75850"/>
                <a:pt x="47625" y="104775"/>
              </a:cubicBezTo>
              <a:cubicBezTo>
                <a:pt x="56009" y="129922"/>
                <a:pt x="49603" y="114884"/>
                <a:pt x="71438" y="147637"/>
              </a:cubicBezTo>
              <a:lnTo>
                <a:pt x="80963" y="161925"/>
              </a:lnTo>
              <a:cubicBezTo>
                <a:pt x="84100" y="171337"/>
                <a:pt x="86857" y="183786"/>
                <a:pt x="95250" y="190500"/>
              </a:cubicBezTo>
              <a:cubicBezTo>
                <a:pt x="99170" y="193636"/>
                <a:pt x="104775" y="193675"/>
                <a:pt x="109538" y="195262"/>
              </a:cubicBezTo>
              <a:cubicBezTo>
                <a:pt x="117164" y="206702"/>
                <a:pt x="121360" y="210281"/>
                <a:pt x="123825" y="223837"/>
              </a:cubicBezTo>
              <a:cubicBezTo>
                <a:pt x="126115" y="236429"/>
                <a:pt x="123835" y="250054"/>
                <a:pt x="128588" y="261937"/>
              </a:cubicBezTo>
              <a:cubicBezTo>
                <a:pt x="130714" y="267251"/>
                <a:pt x="138113" y="268287"/>
                <a:pt x="142875" y="271462"/>
              </a:cubicBezTo>
              <a:cubicBezTo>
                <a:pt x="144463" y="276225"/>
                <a:pt x="145660" y="281136"/>
                <a:pt x="147638" y="285750"/>
              </a:cubicBezTo>
              <a:cubicBezTo>
                <a:pt x="154890" y="302670"/>
                <a:pt x="157121" y="304738"/>
                <a:pt x="166688" y="319087"/>
              </a:cubicBezTo>
              <a:cubicBezTo>
                <a:pt x="169415" y="327269"/>
                <a:pt x="175584" y="344562"/>
                <a:pt x="176213" y="352425"/>
              </a:cubicBezTo>
              <a:cubicBezTo>
                <a:pt x="178875" y="385694"/>
                <a:pt x="178203" y="419177"/>
                <a:pt x="180975" y="452437"/>
              </a:cubicBezTo>
              <a:cubicBezTo>
                <a:pt x="181392" y="457440"/>
                <a:pt x="184359" y="461898"/>
                <a:pt x="185738" y="466725"/>
              </a:cubicBezTo>
              <a:cubicBezTo>
                <a:pt x="190996" y="485130"/>
                <a:pt x="192146" y="494091"/>
                <a:pt x="195263" y="514350"/>
              </a:cubicBezTo>
              <a:cubicBezTo>
                <a:pt x="196970" y="525445"/>
                <a:pt x="198633" y="536549"/>
                <a:pt x="200025" y="547687"/>
              </a:cubicBezTo>
              <a:cubicBezTo>
                <a:pt x="201808" y="561952"/>
                <a:pt x="202602" y="576342"/>
                <a:pt x="204788" y="590550"/>
              </a:cubicBezTo>
              <a:cubicBezTo>
                <a:pt x="205783" y="597019"/>
                <a:pt x="207963" y="603250"/>
                <a:pt x="209550" y="609600"/>
              </a:cubicBezTo>
              <a:cubicBezTo>
                <a:pt x="211138" y="627062"/>
                <a:pt x="214313" y="644453"/>
                <a:pt x="214313" y="661987"/>
              </a:cubicBezTo>
              <a:cubicBezTo>
                <a:pt x="214313" y="721258"/>
                <a:pt x="201612" y="678916"/>
                <a:pt x="214313" y="738187"/>
              </a:cubicBezTo>
              <a:cubicBezTo>
                <a:pt x="216417" y="748004"/>
                <a:pt x="220663" y="757237"/>
                <a:pt x="223838" y="766762"/>
              </a:cubicBezTo>
              <a:lnTo>
                <a:pt x="228600" y="781050"/>
              </a:lnTo>
              <a:cubicBezTo>
                <a:pt x="233865" y="796845"/>
                <a:pt x="233363" y="790316"/>
                <a:pt x="233363" y="800100"/>
              </a:cubicBezTo>
              <a:lnTo>
                <a:pt x="862013" y="723900"/>
              </a:lnTo>
              <a:lnTo>
                <a:pt x="852488" y="804862"/>
              </a:lnTo>
              <a:lnTo>
                <a:pt x="928688" y="795337"/>
              </a:lnTo>
              <a:cubicBezTo>
                <a:pt x="939800" y="777875"/>
                <a:pt x="955480" y="762586"/>
                <a:pt x="962025" y="742950"/>
              </a:cubicBezTo>
              <a:cubicBezTo>
                <a:pt x="973360" y="708945"/>
                <a:pt x="963196" y="719944"/>
                <a:pt x="985838" y="704850"/>
              </a:cubicBezTo>
              <a:lnTo>
                <a:pt x="1004888" y="676275"/>
              </a:lnTo>
              <a:lnTo>
                <a:pt x="1014413" y="661987"/>
              </a:lnTo>
              <a:cubicBezTo>
                <a:pt x="1012825" y="642937"/>
                <a:pt x="1012021" y="623805"/>
                <a:pt x="1009650" y="604837"/>
              </a:cubicBezTo>
              <a:cubicBezTo>
                <a:pt x="1008838" y="598342"/>
                <a:pt x="1008977" y="590898"/>
                <a:pt x="1004888" y="585787"/>
              </a:cubicBezTo>
              <a:cubicBezTo>
                <a:pt x="1001752" y="581867"/>
                <a:pt x="995470" y="582243"/>
                <a:pt x="990600" y="581025"/>
              </a:cubicBezTo>
              <a:lnTo>
                <a:pt x="952500" y="571500"/>
              </a:lnTo>
              <a:cubicBezTo>
                <a:pt x="947738" y="568325"/>
                <a:pt x="941246" y="566829"/>
                <a:pt x="938213" y="561975"/>
              </a:cubicBezTo>
              <a:cubicBezTo>
                <a:pt x="932892" y="553461"/>
                <a:pt x="931863" y="542925"/>
                <a:pt x="928688" y="533400"/>
              </a:cubicBezTo>
              <a:lnTo>
                <a:pt x="914400" y="490537"/>
              </a:lnTo>
              <a:cubicBezTo>
                <a:pt x="912813" y="485775"/>
                <a:pt x="912422" y="480427"/>
                <a:pt x="909638" y="476250"/>
              </a:cubicBezTo>
              <a:cubicBezTo>
                <a:pt x="906463" y="471487"/>
                <a:pt x="902953" y="466932"/>
                <a:pt x="900113" y="461962"/>
              </a:cubicBezTo>
              <a:cubicBezTo>
                <a:pt x="896591" y="455798"/>
                <a:pt x="895608" y="447932"/>
                <a:pt x="890588" y="442912"/>
              </a:cubicBezTo>
              <a:cubicBezTo>
                <a:pt x="887038" y="439362"/>
                <a:pt x="881223" y="439135"/>
                <a:pt x="876300" y="438150"/>
              </a:cubicBezTo>
              <a:cubicBezTo>
                <a:pt x="865293" y="435949"/>
                <a:pt x="854075" y="434975"/>
                <a:pt x="842963" y="433387"/>
              </a:cubicBezTo>
              <a:cubicBezTo>
                <a:pt x="838200" y="431800"/>
                <a:pt x="832852" y="431410"/>
                <a:pt x="828675" y="428625"/>
              </a:cubicBezTo>
              <a:cubicBezTo>
                <a:pt x="821594" y="423904"/>
                <a:pt x="808561" y="408371"/>
                <a:pt x="804863" y="400050"/>
              </a:cubicBezTo>
              <a:cubicBezTo>
                <a:pt x="800785" y="390875"/>
                <a:pt x="795338" y="371475"/>
                <a:pt x="795338" y="371475"/>
              </a:cubicBezTo>
              <a:cubicBezTo>
                <a:pt x="792229" y="303077"/>
                <a:pt x="824374" y="241977"/>
                <a:pt x="747713" y="271462"/>
              </a:cubicBezTo>
              <a:cubicBezTo>
                <a:pt x="739331" y="274686"/>
                <a:pt x="735013" y="284162"/>
                <a:pt x="728663" y="290512"/>
              </a:cubicBezTo>
              <a:cubicBezTo>
                <a:pt x="717435" y="324192"/>
                <a:pt x="727565" y="300168"/>
                <a:pt x="719138" y="252412"/>
              </a:cubicBezTo>
              <a:cubicBezTo>
                <a:pt x="713014" y="217706"/>
                <a:pt x="713003" y="230763"/>
                <a:pt x="695325" y="209550"/>
              </a:cubicBezTo>
              <a:cubicBezTo>
                <a:pt x="675479" y="185735"/>
                <a:pt x="697708" y="203201"/>
                <a:pt x="671513" y="185737"/>
              </a:cubicBezTo>
              <a:cubicBezTo>
                <a:pt x="660188" y="151766"/>
                <a:pt x="676246" y="192836"/>
                <a:pt x="652463" y="157162"/>
              </a:cubicBezTo>
              <a:cubicBezTo>
                <a:pt x="649678" y="152985"/>
                <a:pt x="650191" y="147234"/>
                <a:pt x="647700" y="142875"/>
              </a:cubicBezTo>
              <a:cubicBezTo>
                <a:pt x="639553" y="128617"/>
                <a:pt x="630386" y="120798"/>
                <a:pt x="619125" y="109537"/>
              </a:cubicBezTo>
              <a:cubicBezTo>
                <a:pt x="607790" y="75532"/>
                <a:pt x="615169" y="89316"/>
                <a:pt x="600075" y="66675"/>
              </a:cubicBezTo>
              <a:lnTo>
                <a:pt x="590550" y="28575"/>
              </a:lnTo>
              <a:cubicBezTo>
                <a:pt x="589332" y="23705"/>
                <a:pt x="580651" y="26250"/>
                <a:pt x="576263" y="23812"/>
              </a:cubicBezTo>
              <a:cubicBezTo>
                <a:pt x="553433" y="11128"/>
                <a:pt x="554290" y="11363"/>
                <a:pt x="542925" y="0"/>
              </a:cubicBezTo>
              <a:lnTo>
                <a:pt x="0" y="381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156852</xdr:colOff>
      <xdr:row>89</xdr:row>
      <xdr:rowOff>73399</xdr:rowOff>
    </xdr:from>
    <xdr:to>
      <xdr:col>9</xdr:col>
      <xdr:colOff>420368</xdr:colOff>
      <xdr:row>92</xdr:row>
      <xdr:rowOff>158003</xdr:rowOff>
    </xdr:to>
    <xdr:sp macro="" textlink="">
      <xdr:nvSpPr>
        <xdr:cNvPr id="34" name="Iowa"/>
        <xdr:cNvSpPr/>
      </xdr:nvSpPr>
      <xdr:spPr>
        <a:xfrm>
          <a:off x="4538352" y="14906999"/>
          <a:ext cx="873116" cy="579904"/>
        </a:xfrm>
        <a:custGeom>
          <a:avLst/>
          <a:gdLst>
            <a:gd name="connsiteX0" fmla="*/ 10626 w 877599"/>
            <a:gd name="connsiteY0" fmla="*/ 66675 h 600075"/>
            <a:gd name="connsiteX1" fmla="*/ 10626 w 877599"/>
            <a:gd name="connsiteY1" fmla="*/ 66675 h 600075"/>
            <a:gd name="connsiteX2" fmla="*/ 1101 w 877599"/>
            <a:gd name="connsiteY2" fmla="*/ 109538 h 600075"/>
            <a:gd name="connsiteX3" fmla="*/ 10626 w 877599"/>
            <a:gd name="connsiteY3" fmla="*/ 223838 h 600075"/>
            <a:gd name="connsiteX4" fmla="*/ 20151 w 877599"/>
            <a:gd name="connsiteY4" fmla="*/ 276225 h 600075"/>
            <a:gd name="connsiteX5" fmla="*/ 29676 w 877599"/>
            <a:gd name="connsiteY5" fmla="*/ 290513 h 600075"/>
            <a:gd name="connsiteX6" fmla="*/ 43963 w 877599"/>
            <a:gd name="connsiteY6" fmla="*/ 319088 h 600075"/>
            <a:gd name="connsiteX7" fmla="*/ 48726 w 877599"/>
            <a:gd name="connsiteY7" fmla="*/ 333375 h 600075"/>
            <a:gd name="connsiteX8" fmla="*/ 58251 w 877599"/>
            <a:gd name="connsiteY8" fmla="*/ 352425 h 600075"/>
            <a:gd name="connsiteX9" fmla="*/ 63013 w 877599"/>
            <a:gd name="connsiteY9" fmla="*/ 371475 h 600075"/>
            <a:gd name="connsiteX10" fmla="*/ 82063 w 877599"/>
            <a:gd name="connsiteY10" fmla="*/ 400050 h 600075"/>
            <a:gd name="connsiteX11" fmla="*/ 91588 w 877599"/>
            <a:gd name="connsiteY11" fmla="*/ 414338 h 600075"/>
            <a:gd name="connsiteX12" fmla="*/ 105876 w 877599"/>
            <a:gd name="connsiteY12" fmla="*/ 457200 h 600075"/>
            <a:gd name="connsiteX13" fmla="*/ 115401 w 877599"/>
            <a:gd name="connsiteY13" fmla="*/ 471488 h 600075"/>
            <a:gd name="connsiteX14" fmla="*/ 120163 w 877599"/>
            <a:gd name="connsiteY14" fmla="*/ 509588 h 600075"/>
            <a:gd name="connsiteX15" fmla="*/ 124926 w 877599"/>
            <a:gd name="connsiteY15" fmla="*/ 528638 h 600075"/>
            <a:gd name="connsiteX16" fmla="*/ 129688 w 877599"/>
            <a:gd name="connsiteY16" fmla="*/ 552450 h 600075"/>
            <a:gd name="connsiteX17" fmla="*/ 139213 w 877599"/>
            <a:gd name="connsiteY17" fmla="*/ 595313 h 600075"/>
            <a:gd name="connsiteX18" fmla="*/ 139213 w 877599"/>
            <a:gd name="connsiteY18" fmla="*/ 600075 h 600075"/>
            <a:gd name="connsiteX19" fmla="*/ 691663 w 877599"/>
            <a:gd name="connsiteY19" fmla="*/ 561975 h 600075"/>
            <a:gd name="connsiteX20" fmla="*/ 725001 w 877599"/>
            <a:gd name="connsiteY20" fmla="*/ 585788 h 600075"/>
            <a:gd name="connsiteX21" fmla="*/ 739288 w 877599"/>
            <a:gd name="connsiteY21" fmla="*/ 581025 h 600075"/>
            <a:gd name="connsiteX22" fmla="*/ 748813 w 877599"/>
            <a:gd name="connsiteY22" fmla="*/ 552450 h 600075"/>
            <a:gd name="connsiteX23" fmla="*/ 763101 w 877599"/>
            <a:gd name="connsiteY23" fmla="*/ 523875 h 600075"/>
            <a:gd name="connsiteX24" fmla="*/ 772626 w 877599"/>
            <a:gd name="connsiteY24" fmla="*/ 495300 h 600075"/>
            <a:gd name="connsiteX25" fmla="*/ 777388 w 877599"/>
            <a:gd name="connsiteY25" fmla="*/ 481013 h 600075"/>
            <a:gd name="connsiteX26" fmla="*/ 782151 w 877599"/>
            <a:gd name="connsiteY26" fmla="*/ 457200 h 600075"/>
            <a:gd name="connsiteX27" fmla="*/ 777388 w 877599"/>
            <a:gd name="connsiteY27" fmla="*/ 414338 h 600075"/>
            <a:gd name="connsiteX28" fmla="*/ 782151 w 877599"/>
            <a:gd name="connsiteY28" fmla="*/ 390525 h 600075"/>
            <a:gd name="connsiteX29" fmla="*/ 796438 w 877599"/>
            <a:gd name="connsiteY29" fmla="*/ 385763 h 600075"/>
            <a:gd name="connsiteX30" fmla="*/ 839301 w 877599"/>
            <a:gd name="connsiteY30" fmla="*/ 376238 h 600075"/>
            <a:gd name="connsiteX31" fmla="*/ 858351 w 877599"/>
            <a:gd name="connsiteY31" fmla="*/ 347663 h 600075"/>
            <a:gd name="connsiteX32" fmla="*/ 867876 w 877599"/>
            <a:gd name="connsiteY32" fmla="*/ 333375 h 600075"/>
            <a:gd name="connsiteX33" fmla="*/ 872638 w 877599"/>
            <a:gd name="connsiteY33" fmla="*/ 290513 h 600075"/>
            <a:gd name="connsiteX34" fmla="*/ 858351 w 877599"/>
            <a:gd name="connsiteY34" fmla="*/ 233363 h 600075"/>
            <a:gd name="connsiteX35" fmla="*/ 844063 w 877599"/>
            <a:gd name="connsiteY35" fmla="*/ 200025 h 600075"/>
            <a:gd name="connsiteX36" fmla="*/ 825013 w 877599"/>
            <a:gd name="connsiteY36" fmla="*/ 180975 h 600075"/>
            <a:gd name="connsiteX37" fmla="*/ 796438 w 877599"/>
            <a:gd name="connsiteY37" fmla="*/ 161925 h 600075"/>
            <a:gd name="connsiteX38" fmla="*/ 753576 w 877599"/>
            <a:gd name="connsiteY38" fmla="*/ 142875 h 600075"/>
            <a:gd name="connsiteX39" fmla="*/ 729763 w 877599"/>
            <a:gd name="connsiteY39" fmla="*/ 119063 h 600075"/>
            <a:gd name="connsiteX40" fmla="*/ 720238 w 877599"/>
            <a:gd name="connsiteY40" fmla="*/ 104775 h 600075"/>
            <a:gd name="connsiteX41" fmla="*/ 715476 w 877599"/>
            <a:gd name="connsiteY41" fmla="*/ 0 h 600075"/>
            <a:gd name="connsiteX42" fmla="*/ 10626 w 877599"/>
            <a:gd name="connsiteY42" fmla="*/ 66675 h 600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877599" h="600075">
              <a:moveTo>
                <a:pt x="10626" y="66675"/>
              </a:moveTo>
              <a:lnTo>
                <a:pt x="10626" y="66675"/>
              </a:lnTo>
              <a:cubicBezTo>
                <a:pt x="7451" y="80963"/>
                <a:pt x="1605" y="94911"/>
                <a:pt x="1101" y="109538"/>
              </a:cubicBezTo>
              <a:cubicBezTo>
                <a:pt x="-1367" y="181101"/>
                <a:pt x="-292" y="180171"/>
                <a:pt x="10626" y="223838"/>
              </a:cubicBezTo>
              <a:cubicBezTo>
                <a:pt x="12269" y="236979"/>
                <a:pt x="12808" y="261539"/>
                <a:pt x="20151" y="276225"/>
              </a:cubicBezTo>
              <a:cubicBezTo>
                <a:pt x="22711" y="281345"/>
                <a:pt x="26501" y="285750"/>
                <a:pt x="29676" y="290513"/>
              </a:cubicBezTo>
              <a:cubicBezTo>
                <a:pt x="41643" y="326416"/>
                <a:pt x="25502" y="282167"/>
                <a:pt x="43963" y="319088"/>
              </a:cubicBezTo>
              <a:cubicBezTo>
                <a:pt x="46208" y="323578"/>
                <a:pt x="46748" y="328761"/>
                <a:pt x="48726" y="333375"/>
              </a:cubicBezTo>
              <a:cubicBezTo>
                <a:pt x="51523" y="339900"/>
                <a:pt x="55076" y="346075"/>
                <a:pt x="58251" y="352425"/>
              </a:cubicBezTo>
              <a:cubicBezTo>
                <a:pt x="59838" y="358775"/>
                <a:pt x="60086" y="365621"/>
                <a:pt x="63013" y="371475"/>
              </a:cubicBezTo>
              <a:cubicBezTo>
                <a:pt x="68132" y="381714"/>
                <a:pt x="75713" y="390525"/>
                <a:pt x="82063" y="400050"/>
              </a:cubicBezTo>
              <a:cubicBezTo>
                <a:pt x="85238" y="404813"/>
                <a:pt x="89778" y="408908"/>
                <a:pt x="91588" y="414338"/>
              </a:cubicBezTo>
              <a:lnTo>
                <a:pt x="105876" y="457200"/>
              </a:lnTo>
              <a:cubicBezTo>
                <a:pt x="107686" y="462630"/>
                <a:pt x="112226" y="466725"/>
                <a:pt x="115401" y="471488"/>
              </a:cubicBezTo>
              <a:cubicBezTo>
                <a:pt x="116988" y="484188"/>
                <a:pt x="118059" y="496963"/>
                <a:pt x="120163" y="509588"/>
              </a:cubicBezTo>
              <a:cubicBezTo>
                <a:pt x="121239" y="516044"/>
                <a:pt x="123506" y="522248"/>
                <a:pt x="124926" y="528638"/>
              </a:cubicBezTo>
              <a:cubicBezTo>
                <a:pt x="126682" y="536540"/>
                <a:pt x="127932" y="544548"/>
                <a:pt x="129688" y="552450"/>
              </a:cubicBezTo>
              <a:cubicBezTo>
                <a:pt x="135400" y="578153"/>
                <a:pt x="134422" y="566566"/>
                <a:pt x="139213" y="595313"/>
              </a:cubicBezTo>
              <a:cubicBezTo>
                <a:pt x="139474" y="596879"/>
                <a:pt x="139213" y="598488"/>
                <a:pt x="139213" y="600075"/>
              </a:cubicBezTo>
              <a:lnTo>
                <a:pt x="691663" y="561975"/>
              </a:lnTo>
              <a:cubicBezTo>
                <a:pt x="702776" y="569913"/>
                <a:pt x="712321" y="580716"/>
                <a:pt x="725001" y="585788"/>
              </a:cubicBezTo>
              <a:cubicBezTo>
                <a:pt x="729662" y="587652"/>
                <a:pt x="736370" y="585110"/>
                <a:pt x="739288" y="581025"/>
              </a:cubicBezTo>
              <a:cubicBezTo>
                <a:pt x="745124" y="572855"/>
                <a:pt x="745638" y="561975"/>
                <a:pt x="748813" y="552450"/>
              </a:cubicBezTo>
              <a:cubicBezTo>
                <a:pt x="755385" y="532735"/>
                <a:pt x="750793" y="542338"/>
                <a:pt x="763101" y="523875"/>
              </a:cubicBezTo>
              <a:lnTo>
                <a:pt x="772626" y="495300"/>
              </a:lnTo>
              <a:cubicBezTo>
                <a:pt x="774213" y="490538"/>
                <a:pt x="776403" y="485935"/>
                <a:pt x="777388" y="481013"/>
              </a:cubicBezTo>
              <a:lnTo>
                <a:pt x="782151" y="457200"/>
              </a:lnTo>
              <a:cubicBezTo>
                <a:pt x="780563" y="442913"/>
                <a:pt x="777388" y="428713"/>
                <a:pt x="777388" y="414338"/>
              </a:cubicBezTo>
              <a:cubicBezTo>
                <a:pt x="777388" y="406243"/>
                <a:pt x="777661" y="397260"/>
                <a:pt x="782151" y="390525"/>
              </a:cubicBezTo>
              <a:cubicBezTo>
                <a:pt x="784936" y="386348"/>
                <a:pt x="791538" y="386852"/>
                <a:pt x="796438" y="385763"/>
              </a:cubicBezTo>
              <a:cubicBezTo>
                <a:pt x="846731" y="374587"/>
                <a:pt x="807135" y="386958"/>
                <a:pt x="839301" y="376238"/>
              </a:cubicBezTo>
              <a:lnTo>
                <a:pt x="858351" y="347663"/>
              </a:lnTo>
              <a:lnTo>
                <a:pt x="867876" y="333375"/>
              </a:lnTo>
              <a:cubicBezTo>
                <a:pt x="878988" y="300038"/>
                <a:pt x="880576" y="314325"/>
                <a:pt x="872638" y="290513"/>
              </a:cubicBezTo>
              <a:cubicBezTo>
                <a:pt x="863560" y="217884"/>
                <a:pt x="875505" y="279106"/>
                <a:pt x="858351" y="233363"/>
              </a:cubicBezTo>
              <a:cubicBezTo>
                <a:pt x="845170" y="198216"/>
                <a:pt x="863366" y="228980"/>
                <a:pt x="844063" y="200025"/>
              </a:cubicBezTo>
              <a:cubicBezTo>
                <a:pt x="835982" y="175781"/>
                <a:pt x="845795" y="192521"/>
                <a:pt x="825013" y="180975"/>
              </a:cubicBezTo>
              <a:cubicBezTo>
                <a:pt x="815006" y="175416"/>
                <a:pt x="807298" y="165545"/>
                <a:pt x="796438" y="161925"/>
              </a:cubicBezTo>
              <a:cubicBezTo>
                <a:pt x="762433" y="150590"/>
                <a:pt x="776217" y="157969"/>
                <a:pt x="753576" y="142875"/>
              </a:cubicBezTo>
              <a:cubicBezTo>
                <a:pt x="728174" y="104773"/>
                <a:pt x="761516" y="150816"/>
                <a:pt x="729763" y="119063"/>
              </a:cubicBezTo>
              <a:cubicBezTo>
                <a:pt x="725716" y="115016"/>
                <a:pt x="723413" y="109538"/>
                <a:pt x="720238" y="104775"/>
              </a:cubicBezTo>
              <a:lnTo>
                <a:pt x="715476" y="0"/>
              </a:lnTo>
              <a:lnTo>
                <a:pt x="10626" y="666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29085</xdr:colOff>
      <xdr:row>83</xdr:row>
      <xdr:rowOff>61072</xdr:rowOff>
    </xdr:from>
    <xdr:to>
      <xdr:col>9</xdr:col>
      <xdr:colOff>324920</xdr:colOff>
      <xdr:row>89</xdr:row>
      <xdr:rowOff>144768</xdr:rowOff>
    </xdr:to>
    <xdr:sp macro="" textlink="">
      <xdr:nvSpPr>
        <xdr:cNvPr id="35" name="Minnesota"/>
        <xdr:cNvSpPr/>
      </xdr:nvSpPr>
      <xdr:spPr>
        <a:xfrm>
          <a:off x="4410585" y="13904072"/>
          <a:ext cx="905435" cy="1074296"/>
        </a:xfrm>
        <a:custGeom>
          <a:avLst/>
          <a:gdLst>
            <a:gd name="connsiteX0" fmla="*/ 0 w 914400"/>
            <a:gd name="connsiteY0" fmla="*/ 100013 h 1109594"/>
            <a:gd name="connsiteX1" fmla="*/ 0 w 914400"/>
            <a:gd name="connsiteY1" fmla="*/ 100013 h 1109594"/>
            <a:gd name="connsiteX2" fmla="*/ 9525 w 914400"/>
            <a:gd name="connsiteY2" fmla="*/ 147638 h 1109594"/>
            <a:gd name="connsiteX3" fmla="*/ 19050 w 914400"/>
            <a:gd name="connsiteY3" fmla="*/ 185738 h 1109594"/>
            <a:gd name="connsiteX4" fmla="*/ 23812 w 914400"/>
            <a:gd name="connsiteY4" fmla="*/ 200025 h 1109594"/>
            <a:gd name="connsiteX5" fmla="*/ 33337 w 914400"/>
            <a:gd name="connsiteY5" fmla="*/ 242888 h 1109594"/>
            <a:gd name="connsiteX6" fmla="*/ 42862 w 914400"/>
            <a:gd name="connsiteY6" fmla="*/ 271463 h 1109594"/>
            <a:gd name="connsiteX7" fmla="*/ 47625 w 914400"/>
            <a:gd name="connsiteY7" fmla="*/ 300038 h 1109594"/>
            <a:gd name="connsiteX8" fmla="*/ 52387 w 914400"/>
            <a:gd name="connsiteY8" fmla="*/ 314325 h 1109594"/>
            <a:gd name="connsiteX9" fmla="*/ 57150 w 914400"/>
            <a:gd name="connsiteY9" fmla="*/ 347663 h 1109594"/>
            <a:gd name="connsiteX10" fmla="*/ 61912 w 914400"/>
            <a:gd name="connsiteY10" fmla="*/ 485775 h 1109594"/>
            <a:gd name="connsiteX11" fmla="*/ 71437 w 914400"/>
            <a:gd name="connsiteY11" fmla="*/ 514350 h 1109594"/>
            <a:gd name="connsiteX12" fmla="*/ 90487 w 914400"/>
            <a:gd name="connsiteY12" fmla="*/ 542925 h 1109594"/>
            <a:gd name="connsiteX13" fmla="*/ 100012 w 914400"/>
            <a:gd name="connsiteY13" fmla="*/ 657225 h 1109594"/>
            <a:gd name="connsiteX14" fmla="*/ 104775 w 914400"/>
            <a:gd name="connsiteY14" fmla="*/ 681038 h 1109594"/>
            <a:gd name="connsiteX15" fmla="*/ 109537 w 914400"/>
            <a:gd name="connsiteY15" fmla="*/ 719138 h 1109594"/>
            <a:gd name="connsiteX16" fmla="*/ 119062 w 914400"/>
            <a:gd name="connsiteY16" fmla="*/ 733425 h 1109594"/>
            <a:gd name="connsiteX17" fmla="*/ 128587 w 914400"/>
            <a:gd name="connsiteY17" fmla="*/ 762000 h 1109594"/>
            <a:gd name="connsiteX18" fmla="*/ 133350 w 914400"/>
            <a:gd name="connsiteY18" fmla="*/ 776288 h 1109594"/>
            <a:gd name="connsiteX19" fmla="*/ 138112 w 914400"/>
            <a:gd name="connsiteY19" fmla="*/ 885825 h 1109594"/>
            <a:gd name="connsiteX20" fmla="*/ 142875 w 914400"/>
            <a:gd name="connsiteY20" fmla="*/ 909638 h 1109594"/>
            <a:gd name="connsiteX21" fmla="*/ 152400 w 914400"/>
            <a:gd name="connsiteY21" fmla="*/ 957263 h 1109594"/>
            <a:gd name="connsiteX22" fmla="*/ 147637 w 914400"/>
            <a:gd name="connsiteY22" fmla="*/ 1076325 h 1109594"/>
            <a:gd name="connsiteX23" fmla="*/ 142875 w 914400"/>
            <a:gd name="connsiteY23" fmla="*/ 1104900 h 1109594"/>
            <a:gd name="connsiteX24" fmla="*/ 842962 w 914400"/>
            <a:gd name="connsiteY24" fmla="*/ 1038225 h 1109594"/>
            <a:gd name="connsiteX25" fmla="*/ 833437 w 914400"/>
            <a:gd name="connsiteY25" fmla="*/ 995363 h 1109594"/>
            <a:gd name="connsiteX26" fmla="*/ 804862 w 914400"/>
            <a:gd name="connsiteY26" fmla="*/ 976313 h 1109594"/>
            <a:gd name="connsiteX27" fmla="*/ 790575 w 914400"/>
            <a:gd name="connsiteY27" fmla="*/ 962025 h 1109594"/>
            <a:gd name="connsiteX28" fmla="*/ 747712 w 914400"/>
            <a:gd name="connsiteY28" fmla="*/ 933450 h 1109594"/>
            <a:gd name="connsiteX29" fmla="*/ 733425 w 914400"/>
            <a:gd name="connsiteY29" fmla="*/ 923925 h 1109594"/>
            <a:gd name="connsiteX30" fmla="*/ 700087 w 914400"/>
            <a:gd name="connsiteY30" fmla="*/ 885825 h 1109594"/>
            <a:gd name="connsiteX31" fmla="*/ 685800 w 914400"/>
            <a:gd name="connsiteY31" fmla="*/ 871538 h 1109594"/>
            <a:gd name="connsiteX32" fmla="*/ 671512 w 914400"/>
            <a:gd name="connsiteY32" fmla="*/ 866775 h 1109594"/>
            <a:gd name="connsiteX33" fmla="*/ 642937 w 914400"/>
            <a:gd name="connsiteY33" fmla="*/ 847725 h 1109594"/>
            <a:gd name="connsiteX34" fmla="*/ 614362 w 914400"/>
            <a:gd name="connsiteY34" fmla="*/ 838200 h 1109594"/>
            <a:gd name="connsiteX35" fmla="*/ 604837 w 914400"/>
            <a:gd name="connsiteY35" fmla="*/ 809625 h 1109594"/>
            <a:gd name="connsiteX36" fmla="*/ 614362 w 914400"/>
            <a:gd name="connsiteY36" fmla="*/ 723900 h 1109594"/>
            <a:gd name="connsiteX37" fmla="*/ 585787 w 914400"/>
            <a:gd name="connsiteY37" fmla="*/ 671513 h 1109594"/>
            <a:gd name="connsiteX38" fmla="*/ 581025 w 914400"/>
            <a:gd name="connsiteY38" fmla="*/ 657225 h 1109594"/>
            <a:gd name="connsiteX39" fmla="*/ 614362 w 914400"/>
            <a:gd name="connsiteY39" fmla="*/ 604838 h 1109594"/>
            <a:gd name="connsiteX40" fmla="*/ 642937 w 914400"/>
            <a:gd name="connsiteY40" fmla="*/ 561975 h 1109594"/>
            <a:gd name="connsiteX41" fmla="*/ 647700 w 914400"/>
            <a:gd name="connsiteY41" fmla="*/ 547688 h 1109594"/>
            <a:gd name="connsiteX42" fmla="*/ 652462 w 914400"/>
            <a:gd name="connsiteY42" fmla="*/ 471488 h 1109594"/>
            <a:gd name="connsiteX43" fmla="*/ 661987 w 914400"/>
            <a:gd name="connsiteY43" fmla="*/ 457200 h 1109594"/>
            <a:gd name="connsiteX44" fmla="*/ 690562 w 914400"/>
            <a:gd name="connsiteY44" fmla="*/ 428625 h 1109594"/>
            <a:gd name="connsiteX45" fmla="*/ 704850 w 914400"/>
            <a:gd name="connsiteY45" fmla="*/ 400050 h 1109594"/>
            <a:gd name="connsiteX46" fmla="*/ 719137 w 914400"/>
            <a:gd name="connsiteY46" fmla="*/ 390525 h 1109594"/>
            <a:gd name="connsiteX47" fmla="*/ 752475 w 914400"/>
            <a:gd name="connsiteY47" fmla="*/ 366713 h 1109594"/>
            <a:gd name="connsiteX48" fmla="*/ 771525 w 914400"/>
            <a:gd name="connsiteY48" fmla="*/ 338138 h 1109594"/>
            <a:gd name="connsiteX49" fmla="*/ 781050 w 914400"/>
            <a:gd name="connsiteY49" fmla="*/ 323850 h 1109594"/>
            <a:gd name="connsiteX50" fmla="*/ 800100 w 914400"/>
            <a:gd name="connsiteY50" fmla="*/ 300038 h 1109594"/>
            <a:gd name="connsiteX51" fmla="*/ 828675 w 914400"/>
            <a:gd name="connsiteY51" fmla="*/ 271463 h 1109594"/>
            <a:gd name="connsiteX52" fmla="*/ 862012 w 914400"/>
            <a:gd name="connsiteY52" fmla="*/ 247650 h 1109594"/>
            <a:gd name="connsiteX53" fmla="*/ 876300 w 914400"/>
            <a:gd name="connsiteY53" fmla="*/ 238125 h 1109594"/>
            <a:gd name="connsiteX54" fmla="*/ 904875 w 914400"/>
            <a:gd name="connsiteY54" fmla="*/ 214313 h 1109594"/>
            <a:gd name="connsiteX55" fmla="*/ 914400 w 914400"/>
            <a:gd name="connsiteY55" fmla="*/ 200025 h 1109594"/>
            <a:gd name="connsiteX56" fmla="*/ 904875 w 914400"/>
            <a:gd name="connsiteY56" fmla="*/ 185738 h 1109594"/>
            <a:gd name="connsiteX57" fmla="*/ 871537 w 914400"/>
            <a:gd name="connsiteY57" fmla="*/ 176213 h 1109594"/>
            <a:gd name="connsiteX58" fmla="*/ 790575 w 914400"/>
            <a:gd name="connsiteY58" fmla="*/ 161925 h 1109594"/>
            <a:gd name="connsiteX59" fmla="*/ 742950 w 914400"/>
            <a:gd name="connsiteY59" fmla="*/ 157163 h 1109594"/>
            <a:gd name="connsiteX60" fmla="*/ 733425 w 914400"/>
            <a:gd name="connsiteY60" fmla="*/ 171450 h 1109594"/>
            <a:gd name="connsiteX61" fmla="*/ 704850 w 914400"/>
            <a:gd name="connsiteY61" fmla="*/ 190500 h 1109594"/>
            <a:gd name="connsiteX62" fmla="*/ 661987 w 914400"/>
            <a:gd name="connsiteY62" fmla="*/ 161925 h 1109594"/>
            <a:gd name="connsiteX63" fmla="*/ 633412 w 914400"/>
            <a:gd name="connsiteY63" fmla="*/ 152400 h 1109594"/>
            <a:gd name="connsiteX64" fmla="*/ 604837 w 914400"/>
            <a:gd name="connsiteY64" fmla="*/ 152400 h 1109594"/>
            <a:gd name="connsiteX65" fmla="*/ 595312 w 914400"/>
            <a:gd name="connsiteY65" fmla="*/ 123825 h 1109594"/>
            <a:gd name="connsiteX66" fmla="*/ 590550 w 914400"/>
            <a:gd name="connsiteY66" fmla="*/ 109538 h 1109594"/>
            <a:gd name="connsiteX67" fmla="*/ 576262 w 914400"/>
            <a:gd name="connsiteY67" fmla="*/ 114300 h 1109594"/>
            <a:gd name="connsiteX68" fmla="*/ 552450 w 914400"/>
            <a:gd name="connsiteY68" fmla="*/ 119063 h 1109594"/>
            <a:gd name="connsiteX69" fmla="*/ 533400 w 914400"/>
            <a:gd name="connsiteY69" fmla="*/ 123825 h 1109594"/>
            <a:gd name="connsiteX70" fmla="*/ 495300 w 914400"/>
            <a:gd name="connsiteY70" fmla="*/ 142875 h 1109594"/>
            <a:gd name="connsiteX71" fmla="*/ 466725 w 914400"/>
            <a:gd name="connsiteY71" fmla="*/ 157163 h 1109594"/>
            <a:gd name="connsiteX72" fmla="*/ 438150 w 914400"/>
            <a:gd name="connsiteY72" fmla="*/ 142875 h 1109594"/>
            <a:gd name="connsiteX73" fmla="*/ 409575 w 914400"/>
            <a:gd name="connsiteY73" fmla="*/ 133350 h 1109594"/>
            <a:gd name="connsiteX74" fmla="*/ 352425 w 914400"/>
            <a:gd name="connsiteY74" fmla="*/ 114300 h 1109594"/>
            <a:gd name="connsiteX75" fmla="*/ 338137 w 914400"/>
            <a:gd name="connsiteY75" fmla="*/ 104775 h 1109594"/>
            <a:gd name="connsiteX76" fmla="*/ 323850 w 914400"/>
            <a:gd name="connsiteY76" fmla="*/ 100013 h 1109594"/>
            <a:gd name="connsiteX77" fmla="*/ 304800 w 914400"/>
            <a:gd name="connsiteY77" fmla="*/ 71438 h 1109594"/>
            <a:gd name="connsiteX78" fmla="*/ 295275 w 914400"/>
            <a:gd name="connsiteY78" fmla="*/ 57150 h 1109594"/>
            <a:gd name="connsiteX79" fmla="*/ 280987 w 914400"/>
            <a:gd name="connsiteY79" fmla="*/ 14288 h 1109594"/>
            <a:gd name="connsiteX80" fmla="*/ 271462 w 914400"/>
            <a:gd name="connsiteY80" fmla="*/ 0 h 1109594"/>
            <a:gd name="connsiteX81" fmla="*/ 252412 w 914400"/>
            <a:gd name="connsiteY81" fmla="*/ 28575 h 1109594"/>
            <a:gd name="connsiteX82" fmla="*/ 247650 w 914400"/>
            <a:gd name="connsiteY82" fmla="*/ 42863 h 1109594"/>
            <a:gd name="connsiteX83" fmla="*/ 233362 w 914400"/>
            <a:gd name="connsiteY83" fmla="*/ 52388 h 1109594"/>
            <a:gd name="connsiteX84" fmla="*/ 223837 w 914400"/>
            <a:gd name="connsiteY84" fmla="*/ 66675 h 1109594"/>
            <a:gd name="connsiteX85" fmla="*/ 0 w 914400"/>
            <a:gd name="connsiteY85" fmla="*/ 100013 h 11095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Lst>
          <a:rect l="l" t="t" r="r" b="b"/>
          <a:pathLst>
            <a:path w="914400" h="1109594">
              <a:moveTo>
                <a:pt x="0" y="100013"/>
              </a:moveTo>
              <a:lnTo>
                <a:pt x="0" y="100013"/>
              </a:lnTo>
              <a:cubicBezTo>
                <a:pt x="3175" y="115888"/>
                <a:pt x="6013" y="131834"/>
                <a:pt x="9525" y="147638"/>
              </a:cubicBezTo>
              <a:cubicBezTo>
                <a:pt x="12365" y="160417"/>
                <a:pt x="14911" y="173319"/>
                <a:pt x="19050" y="185738"/>
              </a:cubicBezTo>
              <a:cubicBezTo>
                <a:pt x="20637" y="190500"/>
                <a:pt x="22594" y="195155"/>
                <a:pt x="23812" y="200025"/>
              </a:cubicBezTo>
              <a:cubicBezTo>
                <a:pt x="30604" y="227194"/>
                <a:pt x="26009" y="218461"/>
                <a:pt x="33337" y="242888"/>
              </a:cubicBezTo>
              <a:cubicBezTo>
                <a:pt x="36222" y="252505"/>
                <a:pt x="39687" y="261938"/>
                <a:pt x="42862" y="271463"/>
              </a:cubicBezTo>
              <a:cubicBezTo>
                <a:pt x="45916" y="280624"/>
                <a:pt x="45530" y="290612"/>
                <a:pt x="47625" y="300038"/>
              </a:cubicBezTo>
              <a:cubicBezTo>
                <a:pt x="48714" y="304938"/>
                <a:pt x="50800" y="309563"/>
                <a:pt x="52387" y="314325"/>
              </a:cubicBezTo>
              <a:cubicBezTo>
                <a:pt x="53975" y="325438"/>
                <a:pt x="56527" y="336455"/>
                <a:pt x="57150" y="347663"/>
              </a:cubicBezTo>
              <a:cubicBezTo>
                <a:pt x="59705" y="393657"/>
                <a:pt x="57978" y="439879"/>
                <a:pt x="61912" y="485775"/>
              </a:cubicBezTo>
              <a:cubicBezTo>
                <a:pt x="62769" y="495779"/>
                <a:pt x="68262" y="504825"/>
                <a:pt x="71437" y="514350"/>
              </a:cubicBezTo>
              <a:cubicBezTo>
                <a:pt x="75057" y="525210"/>
                <a:pt x="90487" y="542925"/>
                <a:pt x="90487" y="542925"/>
              </a:cubicBezTo>
              <a:cubicBezTo>
                <a:pt x="93134" y="582630"/>
                <a:pt x="94465" y="618397"/>
                <a:pt x="100012" y="657225"/>
              </a:cubicBezTo>
              <a:cubicBezTo>
                <a:pt x="101157" y="665239"/>
                <a:pt x="103544" y="673037"/>
                <a:pt x="104775" y="681038"/>
              </a:cubicBezTo>
              <a:cubicBezTo>
                <a:pt x="106721" y="693688"/>
                <a:pt x="106169" y="706790"/>
                <a:pt x="109537" y="719138"/>
              </a:cubicBezTo>
              <a:cubicBezTo>
                <a:pt x="111043" y="724660"/>
                <a:pt x="116737" y="728195"/>
                <a:pt x="119062" y="733425"/>
              </a:cubicBezTo>
              <a:cubicBezTo>
                <a:pt x="123140" y="742600"/>
                <a:pt x="125412" y="752475"/>
                <a:pt x="128587" y="762000"/>
              </a:cubicBezTo>
              <a:lnTo>
                <a:pt x="133350" y="776288"/>
              </a:lnTo>
              <a:cubicBezTo>
                <a:pt x="134937" y="812800"/>
                <a:pt x="135508" y="849371"/>
                <a:pt x="138112" y="885825"/>
              </a:cubicBezTo>
              <a:cubicBezTo>
                <a:pt x="138689" y="893899"/>
                <a:pt x="141427" y="901674"/>
                <a:pt x="142875" y="909638"/>
              </a:cubicBezTo>
              <a:cubicBezTo>
                <a:pt x="150661" y="952459"/>
                <a:pt x="143975" y="923565"/>
                <a:pt x="152400" y="957263"/>
              </a:cubicBezTo>
              <a:cubicBezTo>
                <a:pt x="150812" y="996950"/>
                <a:pt x="150370" y="1036700"/>
                <a:pt x="147637" y="1076325"/>
              </a:cubicBezTo>
              <a:cubicBezTo>
                <a:pt x="142105" y="1156538"/>
                <a:pt x="142875" y="1060655"/>
                <a:pt x="142875" y="1104900"/>
              </a:cubicBezTo>
              <a:lnTo>
                <a:pt x="842962" y="1038225"/>
              </a:lnTo>
              <a:cubicBezTo>
                <a:pt x="839787" y="1023938"/>
                <a:pt x="841108" y="1007828"/>
                <a:pt x="833437" y="995363"/>
              </a:cubicBezTo>
              <a:cubicBezTo>
                <a:pt x="827437" y="985614"/>
                <a:pt x="812956" y="984408"/>
                <a:pt x="804862" y="976313"/>
              </a:cubicBezTo>
              <a:cubicBezTo>
                <a:pt x="800100" y="971550"/>
                <a:pt x="795891" y="966160"/>
                <a:pt x="790575" y="962025"/>
              </a:cubicBezTo>
              <a:cubicBezTo>
                <a:pt x="790565" y="962017"/>
                <a:pt x="754861" y="938216"/>
                <a:pt x="747712" y="933450"/>
              </a:cubicBezTo>
              <a:lnTo>
                <a:pt x="733425" y="923925"/>
              </a:lnTo>
              <a:cubicBezTo>
                <a:pt x="699294" y="872728"/>
                <a:pt x="729853" y="910630"/>
                <a:pt x="700087" y="885825"/>
              </a:cubicBezTo>
              <a:cubicBezTo>
                <a:pt x="694913" y="881513"/>
                <a:pt x="691404" y="875274"/>
                <a:pt x="685800" y="871538"/>
              </a:cubicBezTo>
              <a:cubicBezTo>
                <a:pt x="681623" y="868753"/>
                <a:pt x="675901" y="869213"/>
                <a:pt x="671512" y="866775"/>
              </a:cubicBezTo>
              <a:cubicBezTo>
                <a:pt x="661505" y="861216"/>
                <a:pt x="653797" y="851345"/>
                <a:pt x="642937" y="847725"/>
              </a:cubicBezTo>
              <a:lnTo>
                <a:pt x="614362" y="838200"/>
              </a:lnTo>
              <a:lnTo>
                <a:pt x="604837" y="809625"/>
              </a:lnTo>
              <a:cubicBezTo>
                <a:pt x="597368" y="787219"/>
                <a:pt x="607927" y="749644"/>
                <a:pt x="614362" y="723900"/>
              </a:cubicBezTo>
              <a:cubicBezTo>
                <a:pt x="596961" y="697799"/>
                <a:pt x="607397" y="714732"/>
                <a:pt x="585787" y="671513"/>
              </a:cubicBezTo>
              <a:cubicBezTo>
                <a:pt x="583542" y="667023"/>
                <a:pt x="582612" y="661988"/>
                <a:pt x="581025" y="657225"/>
              </a:cubicBezTo>
              <a:cubicBezTo>
                <a:pt x="591916" y="624548"/>
                <a:pt x="579266" y="657482"/>
                <a:pt x="614362" y="604838"/>
              </a:cubicBezTo>
              <a:lnTo>
                <a:pt x="642937" y="561975"/>
              </a:lnTo>
              <a:cubicBezTo>
                <a:pt x="645722" y="557798"/>
                <a:pt x="646112" y="552450"/>
                <a:pt x="647700" y="547688"/>
              </a:cubicBezTo>
              <a:cubicBezTo>
                <a:pt x="649287" y="522288"/>
                <a:pt x="648493" y="496626"/>
                <a:pt x="652462" y="471488"/>
              </a:cubicBezTo>
              <a:cubicBezTo>
                <a:pt x="653355" y="465834"/>
                <a:pt x="658184" y="461478"/>
                <a:pt x="661987" y="457200"/>
              </a:cubicBezTo>
              <a:cubicBezTo>
                <a:pt x="670936" y="447132"/>
                <a:pt x="681037" y="438150"/>
                <a:pt x="690562" y="428625"/>
              </a:cubicBezTo>
              <a:cubicBezTo>
                <a:pt x="730703" y="388484"/>
                <a:pt x="673866" y="438781"/>
                <a:pt x="704850" y="400050"/>
              </a:cubicBezTo>
              <a:cubicBezTo>
                <a:pt x="708426" y="395581"/>
                <a:pt x="714740" y="394189"/>
                <a:pt x="719137" y="390525"/>
              </a:cubicBezTo>
              <a:cubicBezTo>
                <a:pt x="748097" y="366392"/>
                <a:pt x="717227" y="384337"/>
                <a:pt x="752475" y="366713"/>
              </a:cubicBezTo>
              <a:lnTo>
                <a:pt x="771525" y="338138"/>
              </a:lnTo>
              <a:lnTo>
                <a:pt x="781050" y="323850"/>
              </a:lnTo>
              <a:cubicBezTo>
                <a:pt x="789326" y="299019"/>
                <a:pt x="779692" y="318179"/>
                <a:pt x="800100" y="300038"/>
              </a:cubicBezTo>
              <a:cubicBezTo>
                <a:pt x="810168" y="291089"/>
                <a:pt x="817467" y="278935"/>
                <a:pt x="828675" y="271463"/>
              </a:cubicBezTo>
              <a:cubicBezTo>
                <a:pt x="862358" y="249007"/>
                <a:pt x="820643" y="277199"/>
                <a:pt x="862012" y="247650"/>
              </a:cubicBezTo>
              <a:cubicBezTo>
                <a:pt x="866670" y="244323"/>
                <a:pt x="871903" y="241789"/>
                <a:pt x="876300" y="238125"/>
              </a:cubicBezTo>
              <a:cubicBezTo>
                <a:pt x="912970" y="207567"/>
                <a:pt x="869400" y="237962"/>
                <a:pt x="904875" y="214313"/>
              </a:cubicBezTo>
              <a:cubicBezTo>
                <a:pt x="908050" y="209550"/>
                <a:pt x="914400" y="205749"/>
                <a:pt x="914400" y="200025"/>
              </a:cubicBezTo>
              <a:cubicBezTo>
                <a:pt x="914400" y="194301"/>
                <a:pt x="909344" y="189314"/>
                <a:pt x="904875" y="185738"/>
              </a:cubicBezTo>
              <a:cubicBezTo>
                <a:pt x="901826" y="183299"/>
                <a:pt x="872709" y="176464"/>
                <a:pt x="871537" y="176213"/>
              </a:cubicBezTo>
              <a:cubicBezTo>
                <a:pt x="824629" y="166162"/>
                <a:pt x="831809" y="167816"/>
                <a:pt x="790575" y="161925"/>
              </a:cubicBezTo>
              <a:cubicBezTo>
                <a:pt x="755790" y="150330"/>
                <a:pt x="771740" y="149965"/>
                <a:pt x="742950" y="157163"/>
              </a:cubicBezTo>
              <a:cubicBezTo>
                <a:pt x="739775" y="161925"/>
                <a:pt x="737733" y="167681"/>
                <a:pt x="733425" y="171450"/>
              </a:cubicBezTo>
              <a:cubicBezTo>
                <a:pt x="724810" y="178988"/>
                <a:pt x="704850" y="190500"/>
                <a:pt x="704850" y="190500"/>
              </a:cubicBezTo>
              <a:lnTo>
                <a:pt x="661987" y="161925"/>
              </a:lnTo>
              <a:cubicBezTo>
                <a:pt x="653633" y="156356"/>
                <a:pt x="633412" y="152400"/>
                <a:pt x="633412" y="152400"/>
              </a:cubicBezTo>
              <a:cubicBezTo>
                <a:pt x="626084" y="154843"/>
                <a:pt x="612165" y="162659"/>
                <a:pt x="604837" y="152400"/>
              </a:cubicBezTo>
              <a:cubicBezTo>
                <a:pt x="599001" y="144230"/>
                <a:pt x="598487" y="133350"/>
                <a:pt x="595312" y="123825"/>
              </a:cubicBezTo>
              <a:lnTo>
                <a:pt x="590550" y="109538"/>
              </a:lnTo>
              <a:cubicBezTo>
                <a:pt x="585787" y="111125"/>
                <a:pt x="581132" y="113082"/>
                <a:pt x="576262" y="114300"/>
              </a:cubicBezTo>
              <a:cubicBezTo>
                <a:pt x="568409" y="116263"/>
                <a:pt x="560352" y="117307"/>
                <a:pt x="552450" y="119063"/>
              </a:cubicBezTo>
              <a:cubicBezTo>
                <a:pt x="546060" y="120483"/>
                <a:pt x="539750" y="122238"/>
                <a:pt x="533400" y="123825"/>
              </a:cubicBezTo>
              <a:lnTo>
                <a:pt x="495300" y="142875"/>
              </a:lnTo>
              <a:cubicBezTo>
                <a:pt x="455870" y="162590"/>
                <a:pt x="507663" y="129870"/>
                <a:pt x="466725" y="157163"/>
              </a:cubicBezTo>
              <a:cubicBezTo>
                <a:pt x="414609" y="139790"/>
                <a:pt x="493551" y="167498"/>
                <a:pt x="438150" y="142875"/>
              </a:cubicBezTo>
              <a:cubicBezTo>
                <a:pt x="428975" y="138797"/>
                <a:pt x="419100" y="136525"/>
                <a:pt x="409575" y="133350"/>
              </a:cubicBezTo>
              <a:lnTo>
                <a:pt x="352425" y="114300"/>
              </a:lnTo>
              <a:cubicBezTo>
                <a:pt x="346995" y="112490"/>
                <a:pt x="343257" y="107335"/>
                <a:pt x="338137" y="104775"/>
              </a:cubicBezTo>
              <a:cubicBezTo>
                <a:pt x="333647" y="102530"/>
                <a:pt x="328612" y="101600"/>
                <a:pt x="323850" y="100013"/>
              </a:cubicBezTo>
              <a:lnTo>
                <a:pt x="304800" y="71438"/>
              </a:lnTo>
              <a:cubicBezTo>
                <a:pt x="301625" y="66675"/>
                <a:pt x="297085" y="62580"/>
                <a:pt x="295275" y="57150"/>
              </a:cubicBezTo>
              <a:lnTo>
                <a:pt x="280987" y="14288"/>
              </a:lnTo>
              <a:cubicBezTo>
                <a:pt x="279177" y="8858"/>
                <a:pt x="274637" y="4763"/>
                <a:pt x="271462" y="0"/>
              </a:cubicBezTo>
              <a:cubicBezTo>
                <a:pt x="265112" y="9525"/>
                <a:pt x="256032" y="17715"/>
                <a:pt x="252412" y="28575"/>
              </a:cubicBezTo>
              <a:cubicBezTo>
                <a:pt x="250825" y="33338"/>
                <a:pt x="250786" y="38943"/>
                <a:pt x="247650" y="42863"/>
              </a:cubicBezTo>
              <a:cubicBezTo>
                <a:pt x="244074" y="47333"/>
                <a:pt x="238125" y="49213"/>
                <a:pt x="233362" y="52388"/>
              </a:cubicBezTo>
              <a:cubicBezTo>
                <a:pt x="228098" y="68181"/>
                <a:pt x="233620" y="66675"/>
                <a:pt x="223837" y="66675"/>
              </a:cubicBezTo>
              <a:lnTo>
                <a:pt x="0" y="1000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5553</xdr:colOff>
      <xdr:row>85</xdr:row>
      <xdr:rowOff>139607</xdr:rowOff>
    </xdr:from>
    <xdr:to>
      <xdr:col>10</xdr:col>
      <xdr:colOff>134700</xdr:colOff>
      <xdr:row>90</xdr:row>
      <xdr:rowOff>84231</xdr:rowOff>
    </xdr:to>
    <xdr:sp macro="" textlink="">
      <xdr:nvSpPr>
        <xdr:cNvPr id="36" name="Wisconsin"/>
        <xdr:cNvSpPr/>
      </xdr:nvSpPr>
      <xdr:spPr>
        <a:xfrm>
          <a:off x="4996653" y="14312807"/>
          <a:ext cx="738747" cy="770124"/>
        </a:xfrm>
        <a:custGeom>
          <a:avLst/>
          <a:gdLst>
            <a:gd name="connsiteX0" fmla="*/ 100012 w 747712"/>
            <a:gd name="connsiteY0" fmla="*/ 14287 h 795337"/>
            <a:gd name="connsiteX1" fmla="*/ 100012 w 747712"/>
            <a:gd name="connsiteY1" fmla="*/ 14287 h 795337"/>
            <a:gd name="connsiteX2" fmla="*/ 80962 w 747712"/>
            <a:gd name="connsiteY2" fmla="*/ 52387 h 795337"/>
            <a:gd name="connsiteX3" fmla="*/ 71437 w 747712"/>
            <a:gd name="connsiteY3" fmla="*/ 66675 h 795337"/>
            <a:gd name="connsiteX4" fmla="*/ 61912 w 747712"/>
            <a:gd name="connsiteY4" fmla="*/ 100012 h 795337"/>
            <a:gd name="connsiteX5" fmla="*/ 52387 w 747712"/>
            <a:gd name="connsiteY5" fmla="*/ 166687 h 795337"/>
            <a:gd name="connsiteX6" fmla="*/ 19050 w 747712"/>
            <a:gd name="connsiteY6" fmla="*/ 209550 h 795337"/>
            <a:gd name="connsiteX7" fmla="*/ 0 w 747712"/>
            <a:gd name="connsiteY7" fmla="*/ 252412 h 795337"/>
            <a:gd name="connsiteX8" fmla="*/ 9525 w 747712"/>
            <a:gd name="connsiteY8" fmla="*/ 295275 h 795337"/>
            <a:gd name="connsiteX9" fmla="*/ 19050 w 747712"/>
            <a:gd name="connsiteY9" fmla="*/ 309562 h 795337"/>
            <a:gd name="connsiteX10" fmla="*/ 23812 w 747712"/>
            <a:gd name="connsiteY10" fmla="*/ 381000 h 795337"/>
            <a:gd name="connsiteX11" fmla="*/ 47625 w 747712"/>
            <a:gd name="connsiteY11" fmla="*/ 423862 h 795337"/>
            <a:gd name="connsiteX12" fmla="*/ 76200 w 747712"/>
            <a:gd name="connsiteY12" fmla="*/ 442912 h 795337"/>
            <a:gd name="connsiteX13" fmla="*/ 90487 w 747712"/>
            <a:gd name="connsiteY13" fmla="*/ 447675 h 795337"/>
            <a:gd name="connsiteX14" fmla="*/ 104775 w 747712"/>
            <a:gd name="connsiteY14" fmla="*/ 457200 h 795337"/>
            <a:gd name="connsiteX15" fmla="*/ 133350 w 747712"/>
            <a:gd name="connsiteY15" fmla="*/ 466725 h 795337"/>
            <a:gd name="connsiteX16" fmla="*/ 161925 w 747712"/>
            <a:gd name="connsiteY16" fmla="*/ 490537 h 795337"/>
            <a:gd name="connsiteX17" fmla="*/ 166687 w 747712"/>
            <a:gd name="connsiteY17" fmla="*/ 504825 h 795337"/>
            <a:gd name="connsiteX18" fmla="*/ 195262 w 747712"/>
            <a:gd name="connsiteY18" fmla="*/ 523875 h 795337"/>
            <a:gd name="connsiteX19" fmla="*/ 200025 w 747712"/>
            <a:gd name="connsiteY19" fmla="*/ 538162 h 795337"/>
            <a:gd name="connsiteX20" fmla="*/ 228600 w 747712"/>
            <a:gd name="connsiteY20" fmla="*/ 561975 h 795337"/>
            <a:gd name="connsiteX21" fmla="*/ 242887 w 747712"/>
            <a:gd name="connsiteY21" fmla="*/ 590550 h 795337"/>
            <a:gd name="connsiteX22" fmla="*/ 252412 w 747712"/>
            <a:gd name="connsiteY22" fmla="*/ 619125 h 795337"/>
            <a:gd name="connsiteX23" fmla="*/ 261937 w 747712"/>
            <a:gd name="connsiteY23" fmla="*/ 647700 h 795337"/>
            <a:gd name="connsiteX24" fmla="*/ 266700 w 747712"/>
            <a:gd name="connsiteY24" fmla="*/ 676275 h 795337"/>
            <a:gd name="connsiteX25" fmla="*/ 271462 w 747712"/>
            <a:gd name="connsiteY25" fmla="*/ 700087 h 795337"/>
            <a:gd name="connsiteX26" fmla="*/ 276225 w 747712"/>
            <a:gd name="connsiteY26" fmla="*/ 714375 h 795337"/>
            <a:gd name="connsiteX27" fmla="*/ 290512 w 747712"/>
            <a:gd name="connsiteY27" fmla="*/ 728662 h 795337"/>
            <a:gd name="connsiteX28" fmla="*/ 319087 w 747712"/>
            <a:gd name="connsiteY28" fmla="*/ 747712 h 795337"/>
            <a:gd name="connsiteX29" fmla="*/ 328612 w 747712"/>
            <a:gd name="connsiteY29" fmla="*/ 762000 h 795337"/>
            <a:gd name="connsiteX30" fmla="*/ 357187 w 747712"/>
            <a:gd name="connsiteY30" fmla="*/ 781050 h 795337"/>
            <a:gd name="connsiteX31" fmla="*/ 381000 w 747712"/>
            <a:gd name="connsiteY31" fmla="*/ 795337 h 795337"/>
            <a:gd name="connsiteX32" fmla="*/ 733425 w 747712"/>
            <a:gd name="connsiteY32" fmla="*/ 719137 h 795337"/>
            <a:gd name="connsiteX33" fmla="*/ 728662 w 747712"/>
            <a:gd name="connsiteY33" fmla="*/ 661987 h 795337"/>
            <a:gd name="connsiteX34" fmla="*/ 719137 w 747712"/>
            <a:gd name="connsiteY34" fmla="*/ 633412 h 795337"/>
            <a:gd name="connsiteX35" fmla="*/ 714375 w 747712"/>
            <a:gd name="connsiteY35" fmla="*/ 619125 h 795337"/>
            <a:gd name="connsiteX36" fmla="*/ 704850 w 747712"/>
            <a:gd name="connsiteY36" fmla="*/ 590550 h 795337"/>
            <a:gd name="connsiteX37" fmla="*/ 700087 w 747712"/>
            <a:gd name="connsiteY37" fmla="*/ 576262 h 795337"/>
            <a:gd name="connsiteX38" fmla="*/ 704850 w 747712"/>
            <a:gd name="connsiteY38" fmla="*/ 495300 h 795337"/>
            <a:gd name="connsiteX39" fmla="*/ 709612 w 747712"/>
            <a:gd name="connsiteY39" fmla="*/ 457200 h 795337"/>
            <a:gd name="connsiteX40" fmla="*/ 723900 w 747712"/>
            <a:gd name="connsiteY40" fmla="*/ 333375 h 795337"/>
            <a:gd name="connsiteX41" fmla="*/ 733425 w 747712"/>
            <a:gd name="connsiteY41" fmla="*/ 319087 h 795337"/>
            <a:gd name="connsiteX42" fmla="*/ 747712 w 747712"/>
            <a:gd name="connsiteY42" fmla="*/ 271462 h 795337"/>
            <a:gd name="connsiteX43" fmla="*/ 738187 w 747712"/>
            <a:gd name="connsiteY43" fmla="*/ 266700 h 795337"/>
            <a:gd name="connsiteX44" fmla="*/ 728662 w 747712"/>
            <a:gd name="connsiteY44" fmla="*/ 280987 h 795337"/>
            <a:gd name="connsiteX45" fmla="*/ 709612 w 747712"/>
            <a:gd name="connsiteY45" fmla="*/ 304800 h 795337"/>
            <a:gd name="connsiteX46" fmla="*/ 690562 w 747712"/>
            <a:gd name="connsiteY46" fmla="*/ 328612 h 795337"/>
            <a:gd name="connsiteX47" fmla="*/ 666750 w 747712"/>
            <a:gd name="connsiteY47" fmla="*/ 352425 h 795337"/>
            <a:gd name="connsiteX48" fmla="*/ 657225 w 747712"/>
            <a:gd name="connsiteY48" fmla="*/ 338137 h 795337"/>
            <a:gd name="connsiteX49" fmla="*/ 661987 w 747712"/>
            <a:gd name="connsiteY49" fmla="*/ 261937 h 795337"/>
            <a:gd name="connsiteX50" fmla="*/ 666750 w 747712"/>
            <a:gd name="connsiteY50" fmla="*/ 242887 h 795337"/>
            <a:gd name="connsiteX51" fmla="*/ 657225 w 747712"/>
            <a:gd name="connsiteY51" fmla="*/ 185737 h 795337"/>
            <a:gd name="connsiteX52" fmla="*/ 647700 w 747712"/>
            <a:gd name="connsiteY52" fmla="*/ 171450 h 795337"/>
            <a:gd name="connsiteX53" fmla="*/ 633412 w 747712"/>
            <a:gd name="connsiteY53" fmla="*/ 161925 h 795337"/>
            <a:gd name="connsiteX54" fmla="*/ 604837 w 747712"/>
            <a:gd name="connsiteY54" fmla="*/ 142875 h 795337"/>
            <a:gd name="connsiteX55" fmla="*/ 542925 w 747712"/>
            <a:gd name="connsiteY55" fmla="*/ 138112 h 795337"/>
            <a:gd name="connsiteX56" fmla="*/ 514350 w 747712"/>
            <a:gd name="connsiteY56" fmla="*/ 128587 h 795337"/>
            <a:gd name="connsiteX57" fmla="*/ 500062 w 747712"/>
            <a:gd name="connsiteY57" fmla="*/ 119062 h 795337"/>
            <a:gd name="connsiteX58" fmla="*/ 471487 w 747712"/>
            <a:gd name="connsiteY58" fmla="*/ 109537 h 795337"/>
            <a:gd name="connsiteX59" fmla="*/ 442912 w 747712"/>
            <a:gd name="connsiteY59" fmla="*/ 100012 h 795337"/>
            <a:gd name="connsiteX60" fmla="*/ 428625 w 747712"/>
            <a:gd name="connsiteY60" fmla="*/ 90487 h 795337"/>
            <a:gd name="connsiteX61" fmla="*/ 404812 w 747712"/>
            <a:gd name="connsiteY61" fmla="*/ 80962 h 795337"/>
            <a:gd name="connsiteX62" fmla="*/ 366712 w 747712"/>
            <a:gd name="connsiteY62" fmla="*/ 71437 h 795337"/>
            <a:gd name="connsiteX63" fmla="*/ 347662 w 747712"/>
            <a:gd name="connsiteY63" fmla="*/ 66675 h 795337"/>
            <a:gd name="connsiteX64" fmla="*/ 314325 w 747712"/>
            <a:gd name="connsiteY64" fmla="*/ 57150 h 795337"/>
            <a:gd name="connsiteX65" fmla="*/ 280987 w 747712"/>
            <a:gd name="connsiteY65" fmla="*/ 47625 h 795337"/>
            <a:gd name="connsiteX66" fmla="*/ 266700 w 747712"/>
            <a:gd name="connsiteY66" fmla="*/ 38100 h 795337"/>
            <a:gd name="connsiteX67" fmla="*/ 204787 w 747712"/>
            <a:gd name="connsiteY67" fmla="*/ 33337 h 795337"/>
            <a:gd name="connsiteX68" fmla="*/ 200025 w 747712"/>
            <a:gd name="connsiteY68" fmla="*/ 0 h 795337"/>
            <a:gd name="connsiteX69" fmla="*/ 152400 w 747712"/>
            <a:gd name="connsiteY69" fmla="*/ 9525 h 795337"/>
            <a:gd name="connsiteX70" fmla="*/ 100012 w 747712"/>
            <a:gd name="connsiteY70" fmla="*/ 14287 h 7953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747712" h="795337">
              <a:moveTo>
                <a:pt x="100012" y="14287"/>
              </a:moveTo>
              <a:lnTo>
                <a:pt x="100012" y="14287"/>
              </a:lnTo>
              <a:cubicBezTo>
                <a:pt x="93662" y="26987"/>
                <a:pt x="87761" y="39922"/>
                <a:pt x="80962" y="52387"/>
              </a:cubicBezTo>
              <a:cubicBezTo>
                <a:pt x="78221" y="57412"/>
                <a:pt x="73997" y="61555"/>
                <a:pt x="71437" y="66675"/>
              </a:cubicBezTo>
              <a:cubicBezTo>
                <a:pt x="68022" y="73504"/>
                <a:pt x="63437" y="93913"/>
                <a:pt x="61912" y="100012"/>
              </a:cubicBezTo>
              <a:cubicBezTo>
                <a:pt x="61758" y="101557"/>
                <a:pt x="58862" y="153737"/>
                <a:pt x="52387" y="166687"/>
              </a:cubicBezTo>
              <a:cubicBezTo>
                <a:pt x="40994" y="189472"/>
                <a:pt x="34728" y="193871"/>
                <a:pt x="19050" y="209550"/>
              </a:cubicBezTo>
              <a:cubicBezTo>
                <a:pt x="7715" y="243555"/>
                <a:pt x="15094" y="229771"/>
                <a:pt x="0" y="252412"/>
              </a:cubicBezTo>
              <a:cubicBezTo>
                <a:pt x="1830" y="263391"/>
                <a:pt x="3662" y="283549"/>
                <a:pt x="9525" y="295275"/>
              </a:cubicBezTo>
              <a:cubicBezTo>
                <a:pt x="12085" y="300394"/>
                <a:pt x="15875" y="304800"/>
                <a:pt x="19050" y="309562"/>
              </a:cubicBezTo>
              <a:cubicBezTo>
                <a:pt x="20637" y="333375"/>
                <a:pt x="20437" y="357374"/>
                <a:pt x="23812" y="381000"/>
              </a:cubicBezTo>
              <a:cubicBezTo>
                <a:pt x="26836" y="402168"/>
                <a:pt x="32027" y="411731"/>
                <a:pt x="47625" y="423862"/>
              </a:cubicBezTo>
              <a:cubicBezTo>
                <a:pt x="56661" y="430890"/>
                <a:pt x="66675" y="436562"/>
                <a:pt x="76200" y="442912"/>
              </a:cubicBezTo>
              <a:cubicBezTo>
                <a:pt x="80377" y="445697"/>
                <a:pt x="85997" y="445430"/>
                <a:pt x="90487" y="447675"/>
              </a:cubicBezTo>
              <a:cubicBezTo>
                <a:pt x="95607" y="450235"/>
                <a:pt x="99544" y="454875"/>
                <a:pt x="104775" y="457200"/>
              </a:cubicBezTo>
              <a:cubicBezTo>
                <a:pt x="113950" y="461278"/>
                <a:pt x="124996" y="461156"/>
                <a:pt x="133350" y="466725"/>
              </a:cubicBezTo>
              <a:cubicBezTo>
                <a:pt x="153241" y="479986"/>
                <a:pt x="143590" y="472203"/>
                <a:pt x="161925" y="490537"/>
              </a:cubicBezTo>
              <a:cubicBezTo>
                <a:pt x="163512" y="495300"/>
                <a:pt x="163137" y="501275"/>
                <a:pt x="166687" y="504825"/>
              </a:cubicBezTo>
              <a:cubicBezTo>
                <a:pt x="174782" y="512920"/>
                <a:pt x="195262" y="523875"/>
                <a:pt x="195262" y="523875"/>
              </a:cubicBezTo>
              <a:cubicBezTo>
                <a:pt x="196850" y="528637"/>
                <a:pt x="197240" y="533985"/>
                <a:pt x="200025" y="538162"/>
              </a:cubicBezTo>
              <a:cubicBezTo>
                <a:pt x="207361" y="549165"/>
                <a:pt x="218055" y="554945"/>
                <a:pt x="228600" y="561975"/>
              </a:cubicBezTo>
              <a:cubicBezTo>
                <a:pt x="245964" y="614072"/>
                <a:pt x="218271" y="535164"/>
                <a:pt x="242887" y="590550"/>
              </a:cubicBezTo>
              <a:cubicBezTo>
                <a:pt x="246965" y="599725"/>
                <a:pt x="249237" y="609600"/>
                <a:pt x="252412" y="619125"/>
              </a:cubicBezTo>
              <a:lnTo>
                <a:pt x="261937" y="647700"/>
              </a:lnTo>
              <a:cubicBezTo>
                <a:pt x="264990" y="656861"/>
                <a:pt x="264973" y="666774"/>
                <a:pt x="266700" y="676275"/>
              </a:cubicBezTo>
              <a:cubicBezTo>
                <a:pt x="268148" y="684239"/>
                <a:pt x="269499" y="692234"/>
                <a:pt x="271462" y="700087"/>
              </a:cubicBezTo>
              <a:cubicBezTo>
                <a:pt x="272680" y="704957"/>
                <a:pt x="273440" y="710198"/>
                <a:pt x="276225" y="714375"/>
              </a:cubicBezTo>
              <a:cubicBezTo>
                <a:pt x="279961" y="719979"/>
                <a:pt x="285196" y="724527"/>
                <a:pt x="290512" y="728662"/>
              </a:cubicBezTo>
              <a:cubicBezTo>
                <a:pt x="299548" y="735690"/>
                <a:pt x="319087" y="747712"/>
                <a:pt x="319087" y="747712"/>
              </a:cubicBezTo>
              <a:cubicBezTo>
                <a:pt x="322262" y="752475"/>
                <a:pt x="324304" y="758231"/>
                <a:pt x="328612" y="762000"/>
              </a:cubicBezTo>
              <a:cubicBezTo>
                <a:pt x="337227" y="769538"/>
                <a:pt x="347662" y="774700"/>
                <a:pt x="357187" y="781050"/>
              </a:cubicBezTo>
              <a:cubicBezTo>
                <a:pt x="374427" y="792543"/>
                <a:pt x="366356" y="788016"/>
                <a:pt x="381000" y="795337"/>
              </a:cubicBezTo>
              <a:lnTo>
                <a:pt x="733425" y="719137"/>
              </a:lnTo>
              <a:cubicBezTo>
                <a:pt x="731837" y="700087"/>
                <a:pt x="731805" y="680843"/>
                <a:pt x="728662" y="661987"/>
              </a:cubicBezTo>
              <a:cubicBezTo>
                <a:pt x="727011" y="652083"/>
                <a:pt x="722312" y="642937"/>
                <a:pt x="719137" y="633412"/>
              </a:cubicBezTo>
              <a:lnTo>
                <a:pt x="714375" y="619125"/>
              </a:lnTo>
              <a:lnTo>
                <a:pt x="704850" y="590550"/>
              </a:lnTo>
              <a:lnTo>
                <a:pt x="700087" y="576262"/>
              </a:lnTo>
              <a:cubicBezTo>
                <a:pt x="701675" y="549275"/>
                <a:pt x="702694" y="522248"/>
                <a:pt x="704850" y="495300"/>
              </a:cubicBezTo>
              <a:cubicBezTo>
                <a:pt x="705871" y="482542"/>
                <a:pt x="708700" y="469966"/>
                <a:pt x="709612" y="457200"/>
              </a:cubicBezTo>
              <a:cubicBezTo>
                <a:pt x="717747" y="343311"/>
                <a:pt x="703416" y="394828"/>
                <a:pt x="723900" y="333375"/>
              </a:cubicBezTo>
              <a:cubicBezTo>
                <a:pt x="725710" y="327945"/>
                <a:pt x="730250" y="323850"/>
                <a:pt x="733425" y="319087"/>
              </a:cubicBezTo>
              <a:cubicBezTo>
                <a:pt x="745020" y="284302"/>
                <a:pt x="740515" y="300253"/>
                <a:pt x="747712" y="271462"/>
              </a:cubicBezTo>
              <a:cubicBezTo>
                <a:pt x="740248" y="241603"/>
                <a:pt x="746159" y="250757"/>
                <a:pt x="738187" y="266700"/>
              </a:cubicBezTo>
              <a:cubicBezTo>
                <a:pt x="735627" y="271819"/>
                <a:pt x="731837" y="276225"/>
                <a:pt x="728662" y="280987"/>
              </a:cubicBezTo>
              <a:cubicBezTo>
                <a:pt x="716693" y="316898"/>
                <a:pt x="734231" y="274027"/>
                <a:pt x="709612" y="304800"/>
              </a:cubicBezTo>
              <a:cubicBezTo>
                <a:pt x="683321" y="337663"/>
                <a:pt x="731511" y="301314"/>
                <a:pt x="690562" y="328612"/>
              </a:cubicBezTo>
              <a:cubicBezTo>
                <a:pt x="687574" y="333094"/>
                <a:pt x="676088" y="354293"/>
                <a:pt x="666750" y="352425"/>
              </a:cubicBezTo>
              <a:cubicBezTo>
                <a:pt x="661137" y="351302"/>
                <a:pt x="660400" y="342900"/>
                <a:pt x="657225" y="338137"/>
              </a:cubicBezTo>
              <a:cubicBezTo>
                <a:pt x="658812" y="312737"/>
                <a:pt x="659455" y="287260"/>
                <a:pt x="661987" y="261937"/>
              </a:cubicBezTo>
              <a:cubicBezTo>
                <a:pt x="662638" y="255424"/>
                <a:pt x="666750" y="249432"/>
                <a:pt x="666750" y="242887"/>
              </a:cubicBezTo>
              <a:cubicBezTo>
                <a:pt x="666750" y="232331"/>
                <a:pt x="664675" y="200638"/>
                <a:pt x="657225" y="185737"/>
              </a:cubicBezTo>
              <a:cubicBezTo>
                <a:pt x="654665" y="180618"/>
                <a:pt x="651747" y="175497"/>
                <a:pt x="647700" y="171450"/>
              </a:cubicBezTo>
              <a:cubicBezTo>
                <a:pt x="643652" y="167403"/>
                <a:pt x="637809" y="165589"/>
                <a:pt x="633412" y="161925"/>
              </a:cubicBezTo>
              <a:cubicBezTo>
                <a:pt x="619534" y="150360"/>
                <a:pt x="622564" y="145091"/>
                <a:pt x="604837" y="142875"/>
              </a:cubicBezTo>
              <a:cubicBezTo>
                <a:pt x="584299" y="140308"/>
                <a:pt x="563562" y="139700"/>
                <a:pt x="542925" y="138112"/>
              </a:cubicBezTo>
              <a:cubicBezTo>
                <a:pt x="533400" y="134937"/>
                <a:pt x="522704" y="134156"/>
                <a:pt x="514350" y="128587"/>
              </a:cubicBezTo>
              <a:cubicBezTo>
                <a:pt x="509587" y="125412"/>
                <a:pt x="505293" y="121387"/>
                <a:pt x="500062" y="119062"/>
              </a:cubicBezTo>
              <a:cubicBezTo>
                <a:pt x="490887" y="114984"/>
                <a:pt x="481012" y="112712"/>
                <a:pt x="471487" y="109537"/>
              </a:cubicBezTo>
              <a:lnTo>
                <a:pt x="442912" y="100012"/>
              </a:lnTo>
              <a:cubicBezTo>
                <a:pt x="437482" y="98202"/>
                <a:pt x="433744" y="93047"/>
                <a:pt x="428625" y="90487"/>
              </a:cubicBezTo>
              <a:cubicBezTo>
                <a:pt x="420978" y="86664"/>
                <a:pt x="412983" y="83476"/>
                <a:pt x="404812" y="80962"/>
              </a:cubicBezTo>
              <a:cubicBezTo>
                <a:pt x="392300" y="77112"/>
                <a:pt x="379412" y="74612"/>
                <a:pt x="366712" y="71437"/>
              </a:cubicBezTo>
              <a:cubicBezTo>
                <a:pt x="360362" y="69850"/>
                <a:pt x="353871" y="68745"/>
                <a:pt x="347662" y="66675"/>
              </a:cubicBezTo>
              <a:cubicBezTo>
                <a:pt x="313413" y="55257"/>
                <a:pt x="356177" y="69108"/>
                <a:pt x="314325" y="57150"/>
              </a:cubicBezTo>
              <a:cubicBezTo>
                <a:pt x="266499" y="43486"/>
                <a:pt x="340538" y="62511"/>
                <a:pt x="280987" y="47625"/>
              </a:cubicBezTo>
              <a:cubicBezTo>
                <a:pt x="276225" y="44450"/>
                <a:pt x="272326" y="39155"/>
                <a:pt x="266700" y="38100"/>
              </a:cubicBezTo>
              <a:cubicBezTo>
                <a:pt x="246356" y="34285"/>
                <a:pt x="222758" y="43606"/>
                <a:pt x="204787" y="33337"/>
              </a:cubicBezTo>
              <a:cubicBezTo>
                <a:pt x="195041" y="27768"/>
                <a:pt x="201612" y="11112"/>
                <a:pt x="200025" y="0"/>
              </a:cubicBezTo>
              <a:cubicBezTo>
                <a:pt x="180707" y="3219"/>
                <a:pt x="170167" y="4195"/>
                <a:pt x="152400" y="9525"/>
              </a:cubicBezTo>
              <a:cubicBezTo>
                <a:pt x="118978" y="19552"/>
                <a:pt x="108743" y="13493"/>
                <a:pt x="100012" y="14287"/>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272532</xdr:colOff>
      <xdr:row>84</xdr:row>
      <xdr:rowOff>128775</xdr:rowOff>
    </xdr:from>
    <xdr:to>
      <xdr:col>11</xdr:col>
      <xdr:colOff>206617</xdr:colOff>
      <xdr:row>90</xdr:row>
      <xdr:rowOff>122331</xdr:rowOff>
    </xdr:to>
    <xdr:grpSp>
      <xdr:nvGrpSpPr>
        <xdr:cNvPr id="37" name="Michigan"/>
        <xdr:cNvGrpSpPr/>
      </xdr:nvGrpSpPr>
      <xdr:grpSpPr>
        <a:xfrm>
          <a:off x="5263632" y="14289275"/>
          <a:ext cx="1153285" cy="984156"/>
          <a:chOff x="8667750" y="11206163"/>
          <a:chExt cx="1162249" cy="1014412"/>
        </a:xfrm>
      </xdr:grpSpPr>
      <xdr:sp macro="" textlink="">
        <xdr:nvSpPr>
          <xdr:cNvPr id="38" name="Freeform 37"/>
          <xdr:cNvSpPr/>
        </xdr:nvSpPr>
        <xdr:spPr>
          <a:xfrm>
            <a:off x="8667750" y="11206163"/>
            <a:ext cx="820347" cy="404812"/>
          </a:xfrm>
          <a:custGeom>
            <a:avLst/>
            <a:gdLst>
              <a:gd name="connsiteX0" fmla="*/ 23813 w 820347"/>
              <a:gd name="connsiteY0" fmla="*/ 223837 h 404812"/>
              <a:gd name="connsiteX1" fmla="*/ 23813 w 820347"/>
              <a:gd name="connsiteY1" fmla="*/ 223837 h 404812"/>
              <a:gd name="connsiteX2" fmla="*/ 57150 w 820347"/>
              <a:gd name="connsiteY2" fmla="*/ 195262 h 404812"/>
              <a:gd name="connsiteX3" fmla="*/ 71438 w 820347"/>
              <a:gd name="connsiteY3" fmla="*/ 190500 h 404812"/>
              <a:gd name="connsiteX4" fmla="*/ 90488 w 820347"/>
              <a:gd name="connsiteY4" fmla="*/ 180975 h 404812"/>
              <a:gd name="connsiteX5" fmla="*/ 104775 w 820347"/>
              <a:gd name="connsiteY5" fmla="*/ 166687 h 404812"/>
              <a:gd name="connsiteX6" fmla="*/ 119063 w 820347"/>
              <a:gd name="connsiteY6" fmla="*/ 161925 h 404812"/>
              <a:gd name="connsiteX7" fmla="*/ 128588 w 820347"/>
              <a:gd name="connsiteY7" fmla="*/ 147637 h 404812"/>
              <a:gd name="connsiteX8" fmla="*/ 142875 w 820347"/>
              <a:gd name="connsiteY8" fmla="*/ 138112 h 404812"/>
              <a:gd name="connsiteX9" fmla="*/ 161925 w 820347"/>
              <a:gd name="connsiteY9" fmla="*/ 109537 h 404812"/>
              <a:gd name="connsiteX10" fmla="*/ 171450 w 820347"/>
              <a:gd name="connsiteY10" fmla="*/ 95250 h 404812"/>
              <a:gd name="connsiteX11" fmla="*/ 214313 w 820347"/>
              <a:gd name="connsiteY11" fmla="*/ 52387 h 404812"/>
              <a:gd name="connsiteX12" fmla="*/ 228600 w 820347"/>
              <a:gd name="connsiteY12" fmla="*/ 42862 h 404812"/>
              <a:gd name="connsiteX13" fmla="*/ 242888 w 820347"/>
              <a:gd name="connsiteY13" fmla="*/ 28575 h 404812"/>
              <a:gd name="connsiteX14" fmla="*/ 285750 w 820347"/>
              <a:gd name="connsiteY14" fmla="*/ 9525 h 404812"/>
              <a:gd name="connsiteX15" fmla="*/ 300038 w 820347"/>
              <a:gd name="connsiteY15" fmla="*/ 4762 h 404812"/>
              <a:gd name="connsiteX16" fmla="*/ 314325 w 820347"/>
              <a:gd name="connsiteY16" fmla="*/ 0 h 404812"/>
              <a:gd name="connsiteX17" fmla="*/ 342900 w 820347"/>
              <a:gd name="connsiteY17" fmla="*/ 9525 h 404812"/>
              <a:gd name="connsiteX18" fmla="*/ 319088 w 820347"/>
              <a:gd name="connsiteY18" fmla="*/ 52387 h 404812"/>
              <a:gd name="connsiteX19" fmla="*/ 309563 w 820347"/>
              <a:gd name="connsiteY19" fmla="*/ 71437 h 404812"/>
              <a:gd name="connsiteX20" fmla="*/ 295275 w 820347"/>
              <a:gd name="connsiteY20" fmla="*/ 80962 h 404812"/>
              <a:gd name="connsiteX21" fmla="*/ 271463 w 820347"/>
              <a:gd name="connsiteY21" fmla="*/ 109537 h 404812"/>
              <a:gd name="connsiteX22" fmla="*/ 266700 w 820347"/>
              <a:gd name="connsiteY22" fmla="*/ 123825 h 404812"/>
              <a:gd name="connsiteX23" fmla="*/ 280988 w 820347"/>
              <a:gd name="connsiteY23" fmla="*/ 128587 h 404812"/>
              <a:gd name="connsiteX24" fmla="*/ 371475 w 820347"/>
              <a:gd name="connsiteY24" fmla="*/ 138112 h 404812"/>
              <a:gd name="connsiteX25" fmla="*/ 404813 w 820347"/>
              <a:gd name="connsiteY25" fmla="*/ 171450 h 404812"/>
              <a:gd name="connsiteX26" fmla="*/ 404813 w 820347"/>
              <a:gd name="connsiteY26" fmla="*/ 171450 h 404812"/>
              <a:gd name="connsiteX27" fmla="*/ 433388 w 820347"/>
              <a:gd name="connsiteY27" fmla="*/ 190500 h 404812"/>
              <a:gd name="connsiteX28" fmla="*/ 485775 w 820347"/>
              <a:gd name="connsiteY28" fmla="*/ 185737 h 404812"/>
              <a:gd name="connsiteX29" fmla="*/ 504825 w 820347"/>
              <a:gd name="connsiteY29" fmla="*/ 180975 h 404812"/>
              <a:gd name="connsiteX30" fmla="*/ 533400 w 820347"/>
              <a:gd name="connsiteY30" fmla="*/ 161925 h 404812"/>
              <a:gd name="connsiteX31" fmla="*/ 561975 w 820347"/>
              <a:gd name="connsiteY31" fmla="*/ 142875 h 404812"/>
              <a:gd name="connsiteX32" fmla="*/ 590550 w 820347"/>
              <a:gd name="connsiteY32" fmla="*/ 133350 h 404812"/>
              <a:gd name="connsiteX33" fmla="*/ 623888 w 820347"/>
              <a:gd name="connsiteY33" fmla="*/ 119062 h 404812"/>
              <a:gd name="connsiteX34" fmla="*/ 652463 w 820347"/>
              <a:gd name="connsiteY34" fmla="*/ 100012 h 404812"/>
              <a:gd name="connsiteX35" fmla="*/ 666750 w 820347"/>
              <a:gd name="connsiteY35" fmla="*/ 90487 h 404812"/>
              <a:gd name="connsiteX36" fmla="*/ 676275 w 820347"/>
              <a:gd name="connsiteY36" fmla="*/ 76200 h 404812"/>
              <a:gd name="connsiteX37" fmla="*/ 685800 w 820347"/>
              <a:gd name="connsiteY37" fmla="*/ 90487 h 404812"/>
              <a:gd name="connsiteX38" fmla="*/ 690563 w 820347"/>
              <a:gd name="connsiteY38" fmla="*/ 109537 h 404812"/>
              <a:gd name="connsiteX39" fmla="*/ 704850 w 820347"/>
              <a:gd name="connsiteY39" fmla="*/ 152400 h 404812"/>
              <a:gd name="connsiteX40" fmla="*/ 752475 w 820347"/>
              <a:gd name="connsiteY40" fmla="*/ 166687 h 404812"/>
              <a:gd name="connsiteX41" fmla="*/ 766763 w 820347"/>
              <a:gd name="connsiteY41" fmla="*/ 171450 h 404812"/>
              <a:gd name="connsiteX42" fmla="*/ 804863 w 820347"/>
              <a:gd name="connsiteY42" fmla="*/ 166687 h 404812"/>
              <a:gd name="connsiteX43" fmla="*/ 819150 w 820347"/>
              <a:gd name="connsiteY43" fmla="*/ 161925 h 404812"/>
              <a:gd name="connsiteX44" fmla="*/ 814388 w 820347"/>
              <a:gd name="connsiteY44" fmla="*/ 176212 h 404812"/>
              <a:gd name="connsiteX45" fmla="*/ 785813 w 820347"/>
              <a:gd name="connsiteY45" fmla="*/ 190500 h 404812"/>
              <a:gd name="connsiteX46" fmla="*/ 757238 w 820347"/>
              <a:gd name="connsiteY46" fmla="*/ 209550 h 404812"/>
              <a:gd name="connsiteX47" fmla="*/ 704850 w 820347"/>
              <a:gd name="connsiteY47" fmla="*/ 195262 h 404812"/>
              <a:gd name="connsiteX48" fmla="*/ 676275 w 820347"/>
              <a:gd name="connsiteY48" fmla="*/ 185737 h 404812"/>
              <a:gd name="connsiteX49" fmla="*/ 638175 w 820347"/>
              <a:gd name="connsiteY49" fmla="*/ 190500 h 404812"/>
              <a:gd name="connsiteX50" fmla="*/ 595313 w 820347"/>
              <a:gd name="connsiteY50" fmla="*/ 223837 h 404812"/>
              <a:gd name="connsiteX51" fmla="*/ 581025 w 820347"/>
              <a:gd name="connsiteY51" fmla="*/ 233362 h 404812"/>
              <a:gd name="connsiteX52" fmla="*/ 552450 w 820347"/>
              <a:gd name="connsiteY52" fmla="*/ 261937 h 404812"/>
              <a:gd name="connsiteX53" fmla="*/ 523875 w 820347"/>
              <a:gd name="connsiteY53" fmla="*/ 285750 h 404812"/>
              <a:gd name="connsiteX54" fmla="*/ 509588 w 820347"/>
              <a:gd name="connsiteY54" fmla="*/ 290512 h 404812"/>
              <a:gd name="connsiteX55" fmla="*/ 466725 w 820347"/>
              <a:gd name="connsiteY55" fmla="*/ 285750 h 404812"/>
              <a:gd name="connsiteX56" fmla="*/ 452438 w 820347"/>
              <a:gd name="connsiteY56" fmla="*/ 314325 h 404812"/>
              <a:gd name="connsiteX57" fmla="*/ 442913 w 820347"/>
              <a:gd name="connsiteY57" fmla="*/ 328612 h 404812"/>
              <a:gd name="connsiteX58" fmla="*/ 433388 w 820347"/>
              <a:gd name="connsiteY58" fmla="*/ 347662 h 404812"/>
              <a:gd name="connsiteX59" fmla="*/ 423863 w 820347"/>
              <a:gd name="connsiteY59" fmla="*/ 361950 h 404812"/>
              <a:gd name="connsiteX60" fmla="*/ 404813 w 820347"/>
              <a:gd name="connsiteY60" fmla="*/ 404812 h 404812"/>
              <a:gd name="connsiteX61" fmla="*/ 390525 w 820347"/>
              <a:gd name="connsiteY61" fmla="*/ 376237 h 404812"/>
              <a:gd name="connsiteX62" fmla="*/ 366713 w 820347"/>
              <a:gd name="connsiteY62" fmla="*/ 333375 h 404812"/>
              <a:gd name="connsiteX63" fmla="*/ 323850 w 820347"/>
              <a:gd name="connsiteY63" fmla="*/ 314325 h 404812"/>
              <a:gd name="connsiteX64" fmla="*/ 290513 w 820347"/>
              <a:gd name="connsiteY64" fmla="*/ 304800 h 404812"/>
              <a:gd name="connsiteX65" fmla="*/ 209550 w 820347"/>
              <a:gd name="connsiteY65" fmla="*/ 300037 h 404812"/>
              <a:gd name="connsiteX66" fmla="*/ 95250 w 820347"/>
              <a:gd name="connsiteY66" fmla="*/ 261937 h 404812"/>
              <a:gd name="connsiteX67" fmla="*/ 76200 w 820347"/>
              <a:gd name="connsiteY67" fmla="*/ 257175 h 404812"/>
              <a:gd name="connsiteX68" fmla="*/ 47625 w 820347"/>
              <a:gd name="connsiteY68" fmla="*/ 247650 h 404812"/>
              <a:gd name="connsiteX69" fmla="*/ 0 w 820347"/>
              <a:gd name="connsiteY69" fmla="*/ 233362 h 404812"/>
              <a:gd name="connsiteX70" fmla="*/ 23813 w 820347"/>
              <a:gd name="connsiteY70" fmla="*/ 223837 h 404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Lst>
            <a:rect l="l" t="t" r="r" b="b"/>
            <a:pathLst>
              <a:path w="820347" h="404812">
                <a:moveTo>
                  <a:pt x="23813" y="223837"/>
                </a:moveTo>
                <a:lnTo>
                  <a:pt x="23813" y="223837"/>
                </a:lnTo>
                <a:cubicBezTo>
                  <a:pt x="34925" y="214312"/>
                  <a:pt x="45160" y="203655"/>
                  <a:pt x="57150" y="195262"/>
                </a:cubicBezTo>
                <a:cubicBezTo>
                  <a:pt x="61263" y="192383"/>
                  <a:pt x="66824" y="192477"/>
                  <a:pt x="71438" y="190500"/>
                </a:cubicBezTo>
                <a:cubicBezTo>
                  <a:pt x="77964" y="187703"/>
                  <a:pt x="84138" y="184150"/>
                  <a:pt x="90488" y="180975"/>
                </a:cubicBezTo>
                <a:cubicBezTo>
                  <a:pt x="95250" y="176212"/>
                  <a:pt x="99171" y="170423"/>
                  <a:pt x="104775" y="166687"/>
                </a:cubicBezTo>
                <a:cubicBezTo>
                  <a:pt x="108952" y="163902"/>
                  <a:pt x="115143" y="165061"/>
                  <a:pt x="119063" y="161925"/>
                </a:cubicBezTo>
                <a:cubicBezTo>
                  <a:pt x="123533" y="158349"/>
                  <a:pt x="124541" y="151685"/>
                  <a:pt x="128588" y="147637"/>
                </a:cubicBezTo>
                <a:cubicBezTo>
                  <a:pt x="132635" y="143590"/>
                  <a:pt x="138113" y="141287"/>
                  <a:pt x="142875" y="138112"/>
                </a:cubicBezTo>
                <a:lnTo>
                  <a:pt x="161925" y="109537"/>
                </a:lnTo>
                <a:cubicBezTo>
                  <a:pt x="165100" y="104775"/>
                  <a:pt x="167403" y="99297"/>
                  <a:pt x="171450" y="95250"/>
                </a:cubicBezTo>
                <a:lnTo>
                  <a:pt x="214313" y="52387"/>
                </a:lnTo>
                <a:cubicBezTo>
                  <a:pt x="218360" y="48340"/>
                  <a:pt x="224203" y="46526"/>
                  <a:pt x="228600" y="42862"/>
                </a:cubicBezTo>
                <a:cubicBezTo>
                  <a:pt x="233774" y="38550"/>
                  <a:pt x="237714" y="32887"/>
                  <a:pt x="242888" y="28575"/>
                </a:cubicBezTo>
                <a:cubicBezTo>
                  <a:pt x="257984" y="15996"/>
                  <a:pt x="264981" y="16448"/>
                  <a:pt x="285750" y="9525"/>
                </a:cubicBezTo>
                <a:lnTo>
                  <a:pt x="300038" y="4762"/>
                </a:lnTo>
                <a:lnTo>
                  <a:pt x="314325" y="0"/>
                </a:lnTo>
                <a:cubicBezTo>
                  <a:pt x="323850" y="3175"/>
                  <a:pt x="346075" y="0"/>
                  <a:pt x="342900" y="9525"/>
                </a:cubicBezTo>
                <a:cubicBezTo>
                  <a:pt x="334518" y="34672"/>
                  <a:pt x="340923" y="19635"/>
                  <a:pt x="319088" y="52387"/>
                </a:cubicBezTo>
                <a:cubicBezTo>
                  <a:pt x="315150" y="58294"/>
                  <a:pt x="314108" y="65983"/>
                  <a:pt x="309563" y="71437"/>
                </a:cubicBezTo>
                <a:cubicBezTo>
                  <a:pt x="305899" y="75834"/>
                  <a:pt x="299672" y="77298"/>
                  <a:pt x="295275" y="80962"/>
                </a:cubicBezTo>
                <a:cubicBezTo>
                  <a:pt x="286249" y="88484"/>
                  <a:pt x="276814" y="98836"/>
                  <a:pt x="271463" y="109537"/>
                </a:cubicBezTo>
                <a:cubicBezTo>
                  <a:pt x="269218" y="114027"/>
                  <a:pt x="268288" y="119062"/>
                  <a:pt x="266700" y="123825"/>
                </a:cubicBezTo>
                <a:cubicBezTo>
                  <a:pt x="271463" y="125412"/>
                  <a:pt x="276118" y="127369"/>
                  <a:pt x="280988" y="128587"/>
                </a:cubicBezTo>
                <a:cubicBezTo>
                  <a:pt x="313871" y="136808"/>
                  <a:pt x="331900" y="135285"/>
                  <a:pt x="371475" y="138112"/>
                </a:cubicBezTo>
                <a:cubicBezTo>
                  <a:pt x="396623" y="146495"/>
                  <a:pt x="382978" y="138698"/>
                  <a:pt x="404813" y="171450"/>
                </a:cubicBezTo>
                <a:lnTo>
                  <a:pt x="404813" y="171450"/>
                </a:lnTo>
                <a:lnTo>
                  <a:pt x="433388" y="190500"/>
                </a:lnTo>
                <a:cubicBezTo>
                  <a:pt x="450850" y="188912"/>
                  <a:pt x="468394" y="188054"/>
                  <a:pt x="485775" y="185737"/>
                </a:cubicBezTo>
                <a:cubicBezTo>
                  <a:pt x="492263" y="184872"/>
                  <a:pt x="498971" y="183902"/>
                  <a:pt x="504825" y="180975"/>
                </a:cubicBezTo>
                <a:cubicBezTo>
                  <a:pt x="515064" y="175856"/>
                  <a:pt x="523875" y="168275"/>
                  <a:pt x="533400" y="161925"/>
                </a:cubicBezTo>
                <a:lnTo>
                  <a:pt x="561975" y="142875"/>
                </a:lnTo>
                <a:cubicBezTo>
                  <a:pt x="570329" y="137306"/>
                  <a:pt x="581025" y="136525"/>
                  <a:pt x="590550" y="133350"/>
                </a:cubicBezTo>
                <a:cubicBezTo>
                  <a:pt x="605329" y="128423"/>
                  <a:pt x="609177" y="127888"/>
                  <a:pt x="623888" y="119062"/>
                </a:cubicBezTo>
                <a:cubicBezTo>
                  <a:pt x="633704" y="113172"/>
                  <a:pt x="642938" y="106362"/>
                  <a:pt x="652463" y="100012"/>
                </a:cubicBezTo>
                <a:lnTo>
                  <a:pt x="666750" y="90487"/>
                </a:lnTo>
                <a:cubicBezTo>
                  <a:pt x="669925" y="85725"/>
                  <a:pt x="670551" y="76200"/>
                  <a:pt x="676275" y="76200"/>
                </a:cubicBezTo>
                <a:cubicBezTo>
                  <a:pt x="681999" y="76200"/>
                  <a:pt x="683545" y="85226"/>
                  <a:pt x="685800" y="90487"/>
                </a:cubicBezTo>
                <a:cubicBezTo>
                  <a:pt x="688378" y="96503"/>
                  <a:pt x="688682" y="103268"/>
                  <a:pt x="690563" y="109537"/>
                </a:cubicBezTo>
                <a:cubicBezTo>
                  <a:pt x="694891" y="123962"/>
                  <a:pt x="700088" y="138112"/>
                  <a:pt x="704850" y="152400"/>
                </a:cubicBezTo>
                <a:cubicBezTo>
                  <a:pt x="706042" y="155975"/>
                  <a:pt x="745584" y="164718"/>
                  <a:pt x="752475" y="166687"/>
                </a:cubicBezTo>
                <a:cubicBezTo>
                  <a:pt x="757302" y="168066"/>
                  <a:pt x="762000" y="169862"/>
                  <a:pt x="766763" y="171450"/>
                </a:cubicBezTo>
                <a:cubicBezTo>
                  <a:pt x="779463" y="169862"/>
                  <a:pt x="792271" y="168977"/>
                  <a:pt x="804863" y="166687"/>
                </a:cubicBezTo>
                <a:cubicBezTo>
                  <a:pt x="809802" y="165789"/>
                  <a:pt x="815600" y="158375"/>
                  <a:pt x="819150" y="161925"/>
                </a:cubicBezTo>
                <a:cubicBezTo>
                  <a:pt x="822700" y="165475"/>
                  <a:pt x="817524" y="172292"/>
                  <a:pt x="814388" y="176212"/>
                </a:cubicBezTo>
                <a:cubicBezTo>
                  <a:pt x="804241" y="188896"/>
                  <a:pt x="798235" y="183598"/>
                  <a:pt x="785813" y="190500"/>
                </a:cubicBezTo>
                <a:cubicBezTo>
                  <a:pt x="775806" y="196060"/>
                  <a:pt x="757238" y="209550"/>
                  <a:pt x="757238" y="209550"/>
                </a:cubicBezTo>
                <a:cubicBezTo>
                  <a:pt x="674669" y="199228"/>
                  <a:pt x="747135" y="214055"/>
                  <a:pt x="704850" y="195262"/>
                </a:cubicBezTo>
                <a:cubicBezTo>
                  <a:pt x="695675" y="191184"/>
                  <a:pt x="676275" y="185737"/>
                  <a:pt x="676275" y="185737"/>
                </a:cubicBezTo>
                <a:cubicBezTo>
                  <a:pt x="663575" y="187325"/>
                  <a:pt x="650228" y="186195"/>
                  <a:pt x="638175" y="190500"/>
                </a:cubicBezTo>
                <a:cubicBezTo>
                  <a:pt x="612896" y="199528"/>
                  <a:pt x="612459" y="209549"/>
                  <a:pt x="595313" y="223837"/>
                </a:cubicBezTo>
                <a:cubicBezTo>
                  <a:pt x="590916" y="227501"/>
                  <a:pt x="585303" y="229559"/>
                  <a:pt x="581025" y="233362"/>
                </a:cubicBezTo>
                <a:cubicBezTo>
                  <a:pt x="570957" y="242311"/>
                  <a:pt x="561975" y="252412"/>
                  <a:pt x="552450" y="261937"/>
                </a:cubicBezTo>
                <a:cubicBezTo>
                  <a:pt x="541915" y="272472"/>
                  <a:pt x="537139" y="279118"/>
                  <a:pt x="523875" y="285750"/>
                </a:cubicBezTo>
                <a:cubicBezTo>
                  <a:pt x="519385" y="287995"/>
                  <a:pt x="514350" y="288925"/>
                  <a:pt x="509588" y="290512"/>
                </a:cubicBezTo>
                <a:cubicBezTo>
                  <a:pt x="476250" y="279399"/>
                  <a:pt x="490538" y="277812"/>
                  <a:pt x="466725" y="285750"/>
                </a:cubicBezTo>
                <a:cubicBezTo>
                  <a:pt x="439428" y="326693"/>
                  <a:pt x="472155" y="274890"/>
                  <a:pt x="452438" y="314325"/>
                </a:cubicBezTo>
                <a:cubicBezTo>
                  <a:pt x="449878" y="319444"/>
                  <a:pt x="445753" y="323642"/>
                  <a:pt x="442913" y="328612"/>
                </a:cubicBezTo>
                <a:cubicBezTo>
                  <a:pt x="439391" y="334776"/>
                  <a:pt x="436910" y="341498"/>
                  <a:pt x="433388" y="347662"/>
                </a:cubicBezTo>
                <a:cubicBezTo>
                  <a:pt x="430548" y="352632"/>
                  <a:pt x="426188" y="356719"/>
                  <a:pt x="423863" y="361950"/>
                </a:cubicBezTo>
                <a:cubicBezTo>
                  <a:pt x="401195" y="412954"/>
                  <a:pt x="426368" y="372480"/>
                  <a:pt x="404813" y="404812"/>
                </a:cubicBezTo>
                <a:cubicBezTo>
                  <a:pt x="392839" y="368895"/>
                  <a:pt x="408993" y="413173"/>
                  <a:pt x="390525" y="376237"/>
                </a:cubicBezTo>
                <a:cubicBezTo>
                  <a:pt x="381840" y="358867"/>
                  <a:pt x="389238" y="348391"/>
                  <a:pt x="366713" y="333375"/>
                </a:cubicBezTo>
                <a:cubicBezTo>
                  <a:pt x="344070" y="318280"/>
                  <a:pt x="357857" y="325661"/>
                  <a:pt x="323850" y="314325"/>
                </a:cubicBezTo>
                <a:cubicBezTo>
                  <a:pt x="315273" y="311466"/>
                  <a:pt x="298892" y="305598"/>
                  <a:pt x="290513" y="304800"/>
                </a:cubicBezTo>
                <a:cubicBezTo>
                  <a:pt x="263600" y="302237"/>
                  <a:pt x="236538" y="301625"/>
                  <a:pt x="209550" y="300037"/>
                </a:cubicBezTo>
                <a:lnTo>
                  <a:pt x="95250" y="261937"/>
                </a:lnTo>
                <a:cubicBezTo>
                  <a:pt x="89041" y="259867"/>
                  <a:pt x="82469" y="259056"/>
                  <a:pt x="76200" y="257175"/>
                </a:cubicBezTo>
                <a:cubicBezTo>
                  <a:pt x="66583" y="254290"/>
                  <a:pt x="57150" y="250825"/>
                  <a:pt x="47625" y="247650"/>
                </a:cubicBezTo>
                <a:cubicBezTo>
                  <a:pt x="37914" y="244413"/>
                  <a:pt x="5519" y="238881"/>
                  <a:pt x="0" y="233362"/>
                </a:cubicBezTo>
                <a:lnTo>
                  <a:pt x="23813" y="2238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Freeform 38"/>
          <xdr:cNvSpPr/>
        </xdr:nvSpPr>
        <xdr:spPr>
          <a:xfrm>
            <a:off x="9254630" y="11458575"/>
            <a:ext cx="575369" cy="762000"/>
          </a:xfrm>
          <a:custGeom>
            <a:avLst/>
            <a:gdLst>
              <a:gd name="connsiteX0" fmla="*/ 22720 w 575369"/>
              <a:gd name="connsiteY0" fmla="*/ 762000 h 762000"/>
              <a:gd name="connsiteX1" fmla="*/ 22720 w 575369"/>
              <a:gd name="connsiteY1" fmla="*/ 762000 h 762000"/>
              <a:gd name="connsiteX2" fmla="*/ 41770 w 575369"/>
              <a:gd name="connsiteY2" fmla="*/ 719138 h 762000"/>
              <a:gd name="connsiteX3" fmla="*/ 51295 w 575369"/>
              <a:gd name="connsiteY3" fmla="*/ 704850 h 762000"/>
              <a:gd name="connsiteX4" fmla="*/ 60820 w 575369"/>
              <a:gd name="connsiteY4" fmla="*/ 676275 h 762000"/>
              <a:gd name="connsiteX5" fmla="*/ 65583 w 575369"/>
              <a:gd name="connsiteY5" fmla="*/ 661988 h 762000"/>
              <a:gd name="connsiteX6" fmla="*/ 70345 w 575369"/>
              <a:gd name="connsiteY6" fmla="*/ 628650 h 762000"/>
              <a:gd name="connsiteX7" fmla="*/ 75108 w 575369"/>
              <a:gd name="connsiteY7" fmla="*/ 600075 h 762000"/>
              <a:gd name="connsiteX8" fmla="*/ 70345 w 575369"/>
              <a:gd name="connsiteY8" fmla="*/ 509588 h 762000"/>
              <a:gd name="connsiteX9" fmla="*/ 56058 w 575369"/>
              <a:gd name="connsiteY9" fmla="*/ 490538 h 762000"/>
              <a:gd name="connsiteX10" fmla="*/ 41770 w 575369"/>
              <a:gd name="connsiteY10" fmla="*/ 442913 h 762000"/>
              <a:gd name="connsiteX11" fmla="*/ 27483 w 575369"/>
              <a:gd name="connsiteY11" fmla="*/ 433388 h 762000"/>
              <a:gd name="connsiteX12" fmla="*/ 13195 w 575369"/>
              <a:gd name="connsiteY12" fmla="*/ 419100 h 762000"/>
              <a:gd name="connsiteX13" fmla="*/ 8433 w 575369"/>
              <a:gd name="connsiteY13" fmla="*/ 295275 h 762000"/>
              <a:gd name="connsiteX14" fmla="*/ 17958 w 575369"/>
              <a:gd name="connsiteY14" fmla="*/ 276225 h 762000"/>
              <a:gd name="connsiteX15" fmla="*/ 27483 w 575369"/>
              <a:gd name="connsiteY15" fmla="*/ 238125 h 762000"/>
              <a:gd name="connsiteX16" fmla="*/ 32245 w 575369"/>
              <a:gd name="connsiteY16" fmla="*/ 223838 h 762000"/>
              <a:gd name="connsiteX17" fmla="*/ 37008 w 575369"/>
              <a:gd name="connsiteY17" fmla="*/ 204788 h 762000"/>
              <a:gd name="connsiteX18" fmla="*/ 51295 w 575369"/>
              <a:gd name="connsiteY18" fmla="*/ 152400 h 762000"/>
              <a:gd name="connsiteX19" fmla="*/ 56058 w 575369"/>
              <a:gd name="connsiteY19" fmla="*/ 138113 h 762000"/>
              <a:gd name="connsiteX20" fmla="*/ 70345 w 575369"/>
              <a:gd name="connsiteY20" fmla="*/ 128588 h 762000"/>
              <a:gd name="connsiteX21" fmla="*/ 98920 w 575369"/>
              <a:gd name="connsiteY21" fmla="*/ 142875 h 762000"/>
              <a:gd name="connsiteX22" fmla="*/ 108445 w 575369"/>
              <a:gd name="connsiteY22" fmla="*/ 171450 h 762000"/>
              <a:gd name="connsiteX23" fmla="*/ 137020 w 575369"/>
              <a:gd name="connsiteY23" fmla="*/ 138113 h 762000"/>
              <a:gd name="connsiteX24" fmla="*/ 146545 w 575369"/>
              <a:gd name="connsiteY24" fmla="*/ 109538 h 762000"/>
              <a:gd name="connsiteX25" fmla="*/ 151308 w 575369"/>
              <a:gd name="connsiteY25" fmla="*/ 71438 h 762000"/>
              <a:gd name="connsiteX26" fmla="*/ 151308 w 575369"/>
              <a:gd name="connsiteY26" fmla="*/ 28575 h 762000"/>
              <a:gd name="connsiteX27" fmla="*/ 165595 w 575369"/>
              <a:gd name="connsiteY27" fmla="*/ 14288 h 762000"/>
              <a:gd name="connsiteX28" fmla="*/ 194170 w 575369"/>
              <a:gd name="connsiteY28" fmla="*/ 0 h 762000"/>
              <a:gd name="connsiteX29" fmla="*/ 222745 w 575369"/>
              <a:gd name="connsiteY29" fmla="*/ 9525 h 762000"/>
              <a:gd name="connsiteX30" fmla="*/ 260845 w 575369"/>
              <a:gd name="connsiteY30" fmla="*/ 19050 h 762000"/>
              <a:gd name="connsiteX31" fmla="*/ 308470 w 575369"/>
              <a:gd name="connsiteY31" fmla="*/ 23813 h 762000"/>
              <a:gd name="connsiteX32" fmla="*/ 337045 w 575369"/>
              <a:gd name="connsiteY32" fmla="*/ 33338 h 762000"/>
              <a:gd name="connsiteX33" fmla="*/ 351333 w 575369"/>
              <a:gd name="connsiteY33" fmla="*/ 38100 h 762000"/>
              <a:gd name="connsiteX34" fmla="*/ 365620 w 575369"/>
              <a:gd name="connsiteY34" fmla="*/ 47625 h 762000"/>
              <a:gd name="connsiteX35" fmla="*/ 379908 w 575369"/>
              <a:gd name="connsiteY35" fmla="*/ 52388 h 762000"/>
              <a:gd name="connsiteX36" fmla="*/ 375145 w 575369"/>
              <a:gd name="connsiteY36" fmla="*/ 66675 h 762000"/>
              <a:gd name="connsiteX37" fmla="*/ 389433 w 575369"/>
              <a:gd name="connsiteY37" fmla="*/ 147638 h 762000"/>
              <a:gd name="connsiteX38" fmla="*/ 394195 w 575369"/>
              <a:gd name="connsiteY38" fmla="*/ 161925 h 762000"/>
              <a:gd name="connsiteX39" fmla="*/ 398958 w 575369"/>
              <a:gd name="connsiteY39" fmla="*/ 176213 h 762000"/>
              <a:gd name="connsiteX40" fmla="*/ 394195 w 575369"/>
              <a:gd name="connsiteY40" fmla="*/ 219075 h 762000"/>
              <a:gd name="connsiteX41" fmla="*/ 379908 w 575369"/>
              <a:gd name="connsiteY41" fmla="*/ 266700 h 762000"/>
              <a:gd name="connsiteX42" fmla="*/ 375145 w 575369"/>
              <a:gd name="connsiteY42" fmla="*/ 280988 h 762000"/>
              <a:gd name="connsiteX43" fmla="*/ 370383 w 575369"/>
              <a:gd name="connsiteY43" fmla="*/ 295275 h 762000"/>
              <a:gd name="connsiteX44" fmla="*/ 360858 w 575369"/>
              <a:gd name="connsiteY44" fmla="*/ 309563 h 762000"/>
              <a:gd name="connsiteX45" fmla="*/ 365620 w 575369"/>
              <a:gd name="connsiteY45" fmla="*/ 333375 h 762000"/>
              <a:gd name="connsiteX46" fmla="*/ 398958 w 575369"/>
              <a:gd name="connsiteY46" fmla="*/ 319088 h 762000"/>
              <a:gd name="connsiteX47" fmla="*/ 427533 w 575369"/>
              <a:gd name="connsiteY47" fmla="*/ 276225 h 762000"/>
              <a:gd name="connsiteX48" fmla="*/ 437058 w 575369"/>
              <a:gd name="connsiteY48" fmla="*/ 261938 h 762000"/>
              <a:gd name="connsiteX49" fmla="*/ 451345 w 575369"/>
              <a:gd name="connsiteY49" fmla="*/ 257175 h 762000"/>
              <a:gd name="connsiteX50" fmla="*/ 503733 w 575369"/>
              <a:gd name="connsiteY50" fmla="*/ 261938 h 762000"/>
              <a:gd name="connsiteX51" fmla="*/ 508495 w 575369"/>
              <a:gd name="connsiteY51" fmla="*/ 276225 h 762000"/>
              <a:gd name="connsiteX52" fmla="*/ 513258 w 575369"/>
              <a:gd name="connsiteY52" fmla="*/ 304800 h 762000"/>
              <a:gd name="connsiteX53" fmla="*/ 532308 w 575369"/>
              <a:gd name="connsiteY53" fmla="*/ 333375 h 762000"/>
              <a:gd name="connsiteX54" fmla="*/ 541833 w 575369"/>
              <a:gd name="connsiteY54" fmla="*/ 361950 h 762000"/>
              <a:gd name="connsiteX55" fmla="*/ 546595 w 575369"/>
              <a:gd name="connsiteY55" fmla="*/ 381000 h 762000"/>
              <a:gd name="connsiteX56" fmla="*/ 556120 w 575369"/>
              <a:gd name="connsiteY56" fmla="*/ 409575 h 762000"/>
              <a:gd name="connsiteX57" fmla="*/ 570408 w 575369"/>
              <a:gd name="connsiteY57" fmla="*/ 414338 h 762000"/>
              <a:gd name="connsiteX58" fmla="*/ 570408 w 575369"/>
              <a:gd name="connsiteY58" fmla="*/ 452438 h 762000"/>
              <a:gd name="connsiteX59" fmla="*/ 565645 w 575369"/>
              <a:gd name="connsiteY59" fmla="*/ 471488 h 762000"/>
              <a:gd name="connsiteX60" fmla="*/ 537070 w 575369"/>
              <a:gd name="connsiteY60" fmla="*/ 490538 h 762000"/>
              <a:gd name="connsiteX61" fmla="*/ 527545 w 575369"/>
              <a:gd name="connsiteY61" fmla="*/ 523875 h 762000"/>
              <a:gd name="connsiteX62" fmla="*/ 522783 w 575369"/>
              <a:gd name="connsiteY62" fmla="*/ 542925 h 762000"/>
              <a:gd name="connsiteX63" fmla="*/ 508495 w 575369"/>
              <a:gd name="connsiteY63" fmla="*/ 557213 h 762000"/>
              <a:gd name="connsiteX64" fmla="*/ 494208 w 575369"/>
              <a:gd name="connsiteY64" fmla="*/ 609600 h 762000"/>
              <a:gd name="connsiteX65" fmla="*/ 479920 w 575369"/>
              <a:gd name="connsiteY65" fmla="*/ 666750 h 762000"/>
              <a:gd name="connsiteX66" fmla="*/ 475158 w 575369"/>
              <a:gd name="connsiteY66" fmla="*/ 681038 h 762000"/>
              <a:gd name="connsiteX67" fmla="*/ 432295 w 575369"/>
              <a:gd name="connsiteY67" fmla="*/ 695325 h 762000"/>
              <a:gd name="connsiteX68" fmla="*/ 389433 w 575369"/>
              <a:gd name="connsiteY68" fmla="*/ 709613 h 762000"/>
              <a:gd name="connsiteX69" fmla="*/ 370383 w 575369"/>
              <a:gd name="connsiteY69" fmla="*/ 714375 h 762000"/>
              <a:gd name="connsiteX70" fmla="*/ 356095 w 575369"/>
              <a:gd name="connsiteY70" fmla="*/ 719138 h 762000"/>
              <a:gd name="connsiteX71" fmla="*/ 298945 w 575369"/>
              <a:gd name="connsiteY71" fmla="*/ 728663 h 762000"/>
              <a:gd name="connsiteX72" fmla="*/ 265608 w 575369"/>
              <a:gd name="connsiteY72" fmla="*/ 723900 h 762000"/>
              <a:gd name="connsiteX73" fmla="*/ 146545 w 575369"/>
              <a:gd name="connsiteY73" fmla="*/ 733425 h 762000"/>
              <a:gd name="connsiteX74" fmla="*/ 98920 w 575369"/>
              <a:gd name="connsiteY74" fmla="*/ 742950 h 762000"/>
              <a:gd name="connsiteX75" fmla="*/ 22720 w 575369"/>
              <a:gd name="connsiteY75" fmla="*/ 762000 h 762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Lst>
            <a:rect l="l" t="t" r="r" b="b"/>
            <a:pathLst>
              <a:path w="575369" h="762000">
                <a:moveTo>
                  <a:pt x="22720" y="762000"/>
                </a:moveTo>
                <a:lnTo>
                  <a:pt x="22720" y="762000"/>
                </a:lnTo>
                <a:cubicBezTo>
                  <a:pt x="29070" y="747713"/>
                  <a:pt x="34778" y="733122"/>
                  <a:pt x="41770" y="719138"/>
                </a:cubicBezTo>
                <a:cubicBezTo>
                  <a:pt x="44330" y="714018"/>
                  <a:pt x="48970" y="710081"/>
                  <a:pt x="51295" y="704850"/>
                </a:cubicBezTo>
                <a:cubicBezTo>
                  <a:pt x="55373" y="695675"/>
                  <a:pt x="57645" y="685800"/>
                  <a:pt x="60820" y="676275"/>
                </a:cubicBezTo>
                <a:lnTo>
                  <a:pt x="65583" y="661988"/>
                </a:lnTo>
                <a:cubicBezTo>
                  <a:pt x="67170" y="650875"/>
                  <a:pt x="68638" y="639745"/>
                  <a:pt x="70345" y="628650"/>
                </a:cubicBezTo>
                <a:cubicBezTo>
                  <a:pt x="71813" y="619106"/>
                  <a:pt x="75108" y="609731"/>
                  <a:pt x="75108" y="600075"/>
                </a:cubicBezTo>
                <a:cubicBezTo>
                  <a:pt x="75108" y="569871"/>
                  <a:pt x="75520" y="539345"/>
                  <a:pt x="70345" y="509588"/>
                </a:cubicBezTo>
                <a:cubicBezTo>
                  <a:pt x="68985" y="501768"/>
                  <a:pt x="60820" y="496888"/>
                  <a:pt x="56058" y="490538"/>
                </a:cubicBezTo>
                <a:cubicBezTo>
                  <a:pt x="48860" y="461748"/>
                  <a:pt x="53365" y="477698"/>
                  <a:pt x="41770" y="442913"/>
                </a:cubicBezTo>
                <a:cubicBezTo>
                  <a:pt x="39960" y="437483"/>
                  <a:pt x="31880" y="437052"/>
                  <a:pt x="27483" y="433388"/>
                </a:cubicBezTo>
                <a:cubicBezTo>
                  <a:pt x="22309" y="429076"/>
                  <a:pt x="17958" y="423863"/>
                  <a:pt x="13195" y="419100"/>
                </a:cubicBezTo>
                <a:cubicBezTo>
                  <a:pt x="-4569" y="365807"/>
                  <a:pt x="-2574" y="383326"/>
                  <a:pt x="8433" y="295275"/>
                </a:cubicBezTo>
                <a:cubicBezTo>
                  <a:pt x="9314" y="288230"/>
                  <a:pt x="15161" y="282751"/>
                  <a:pt x="17958" y="276225"/>
                </a:cubicBezTo>
                <a:cubicBezTo>
                  <a:pt x="24488" y="260988"/>
                  <a:pt x="23012" y="256008"/>
                  <a:pt x="27483" y="238125"/>
                </a:cubicBezTo>
                <a:cubicBezTo>
                  <a:pt x="28701" y="233255"/>
                  <a:pt x="30866" y="228665"/>
                  <a:pt x="32245" y="223838"/>
                </a:cubicBezTo>
                <a:cubicBezTo>
                  <a:pt x="34043" y="217544"/>
                  <a:pt x="35588" y="211178"/>
                  <a:pt x="37008" y="204788"/>
                </a:cubicBezTo>
                <a:cubicBezTo>
                  <a:pt x="45984" y="164396"/>
                  <a:pt x="36426" y="197006"/>
                  <a:pt x="51295" y="152400"/>
                </a:cubicBezTo>
                <a:cubicBezTo>
                  <a:pt x="52883" y="147638"/>
                  <a:pt x="51881" y="140898"/>
                  <a:pt x="56058" y="138113"/>
                </a:cubicBezTo>
                <a:lnTo>
                  <a:pt x="70345" y="128588"/>
                </a:lnTo>
                <a:cubicBezTo>
                  <a:pt x="78131" y="131183"/>
                  <a:pt x="94060" y="135099"/>
                  <a:pt x="98920" y="142875"/>
                </a:cubicBezTo>
                <a:cubicBezTo>
                  <a:pt x="104241" y="151389"/>
                  <a:pt x="108445" y="171450"/>
                  <a:pt x="108445" y="171450"/>
                </a:cubicBezTo>
                <a:cubicBezTo>
                  <a:pt x="117979" y="161917"/>
                  <a:pt x="130909" y="150335"/>
                  <a:pt x="137020" y="138113"/>
                </a:cubicBezTo>
                <a:cubicBezTo>
                  <a:pt x="141510" y="129133"/>
                  <a:pt x="146545" y="109538"/>
                  <a:pt x="146545" y="109538"/>
                </a:cubicBezTo>
                <a:cubicBezTo>
                  <a:pt x="148133" y="96838"/>
                  <a:pt x="151308" y="84237"/>
                  <a:pt x="151308" y="71438"/>
                </a:cubicBezTo>
                <a:cubicBezTo>
                  <a:pt x="151308" y="45748"/>
                  <a:pt x="136942" y="57306"/>
                  <a:pt x="151308" y="28575"/>
                </a:cubicBezTo>
                <a:cubicBezTo>
                  <a:pt x="154320" y="22551"/>
                  <a:pt x="160421" y="18600"/>
                  <a:pt x="165595" y="14288"/>
                </a:cubicBezTo>
                <a:cubicBezTo>
                  <a:pt x="177904" y="4031"/>
                  <a:pt x="179852" y="4773"/>
                  <a:pt x="194170" y="0"/>
                </a:cubicBezTo>
                <a:lnTo>
                  <a:pt x="222745" y="9525"/>
                </a:lnTo>
                <a:cubicBezTo>
                  <a:pt x="238775" y="14868"/>
                  <a:pt x="241683" y="16495"/>
                  <a:pt x="260845" y="19050"/>
                </a:cubicBezTo>
                <a:cubicBezTo>
                  <a:pt x="276659" y="21159"/>
                  <a:pt x="292595" y="22225"/>
                  <a:pt x="308470" y="23813"/>
                </a:cubicBezTo>
                <a:lnTo>
                  <a:pt x="337045" y="33338"/>
                </a:lnTo>
                <a:lnTo>
                  <a:pt x="351333" y="38100"/>
                </a:lnTo>
                <a:cubicBezTo>
                  <a:pt x="356095" y="41275"/>
                  <a:pt x="360501" y="45065"/>
                  <a:pt x="365620" y="47625"/>
                </a:cubicBezTo>
                <a:cubicBezTo>
                  <a:pt x="370110" y="49870"/>
                  <a:pt x="377663" y="47898"/>
                  <a:pt x="379908" y="52388"/>
                </a:cubicBezTo>
                <a:cubicBezTo>
                  <a:pt x="382153" y="56878"/>
                  <a:pt x="376733" y="61913"/>
                  <a:pt x="375145" y="66675"/>
                </a:cubicBezTo>
                <a:cubicBezTo>
                  <a:pt x="380817" y="129065"/>
                  <a:pt x="374363" y="102427"/>
                  <a:pt x="389433" y="147638"/>
                </a:cubicBezTo>
                <a:lnTo>
                  <a:pt x="394195" y="161925"/>
                </a:lnTo>
                <a:lnTo>
                  <a:pt x="398958" y="176213"/>
                </a:lnTo>
                <a:cubicBezTo>
                  <a:pt x="397370" y="190500"/>
                  <a:pt x="396381" y="204867"/>
                  <a:pt x="394195" y="219075"/>
                </a:cubicBezTo>
                <a:cubicBezTo>
                  <a:pt x="392138" y="232446"/>
                  <a:pt x="383619" y="255568"/>
                  <a:pt x="379908" y="266700"/>
                </a:cubicBezTo>
                <a:lnTo>
                  <a:pt x="375145" y="280988"/>
                </a:lnTo>
                <a:cubicBezTo>
                  <a:pt x="373558" y="285750"/>
                  <a:pt x="373167" y="291098"/>
                  <a:pt x="370383" y="295275"/>
                </a:cubicBezTo>
                <a:lnTo>
                  <a:pt x="360858" y="309563"/>
                </a:lnTo>
                <a:cubicBezTo>
                  <a:pt x="362445" y="317500"/>
                  <a:pt x="359299" y="328318"/>
                  <a:pt x="365620" y="333375"/>
                </a:cubicBezTo>
                <a:cubicBezTo>
                  <a:pt x="372610" y="338967"/>
                  <a:pt x="394627" y="321975"/>
                  <a:pt x="398958" y="319088"/>
                </a:cubicBezTo>
                <a:lnTo>
                  <a:pt x="427533" y="276225"/>
                </a:lnTo>
                <a:cubicBezTo>
                  <a:pt x="430708" y="271463"/>
                  <a:pt x="431628" y="263748"/>
                  <a:pt x="437058" y="261938"/>
                </a:cubicBezTo>
                <a:lnTo>
                  <a:pt x="451345" y="257175"/>
                </a:lnTo>
                <a:cubicBezTo>
                  <a:pt x="468808" y="258763"/>
                  <a:pt x="487098" y="256393"/>
                  <a:pt x="503733" y="261938"/>
                </a:cubicBezTo>
                <a:cubicBezTo>
                  <a:pt x="508495" y="263525"/>
                  <a:pt x="507406" y="271325"/>
                  <a:pt x="508495" y="276225"/>
                </a:cubicBezTo>
                <a:cubicBezTo>
                  <a:pt x="510590" y="285651"/>
                  <a:pt x="509544" y="295886"/>
                  <a:pt x="513258" y="304800"/>
                </a:cubicBezTo>
                <a:cubicBezTo>
                  <a:pt x="517661" y="315367"/>
                  <a:pt x="532308" y="333375"/>
                  <a:pt x="532308" y="333375"/>
                </a:cubicBezTo>
                <a:cubicBezTo>
                  <a:pt x="535483" y="342900"/>
                  <a:pt x="539398" y="352209"/>
                  <a:pt x="541833" y="361950"/>
                </a:cubicBezTo>
                <a:cubicBezTo>
                  <a:pt x="543420" y="368300"/>
                  <a:pt x="544714" y="374731"/>
                  <a:pt x="546595" y="381000"/>
                </a:cubicBezTo>
                <a:cubicBezTo>
                  <a:pt x="549480" y="390617"/>
                  <a:pt x="546595" y="406400"/>
                  <a:pt x="556120" y="409575"/>
                </a:cubicBezTo>
                <a:lnTo>
                  <a:pt x="570408" y="414338"/>
                </a:lnTo>
                <a:cubicBezTo>
                  <a:pt x="577492" y="435591"/>
                  <a:pt x="576538" y="424853"/>
                  <a:pt x="570408" y="452438"/>
                </a:cubicBezTo>
                <a:cubicBezTo>
                  <a:pt x="568988" y="458828"/>
                  <a:pt x="569955" y="466562"/>
                  <a:pt x="565645" y="471488"/>
                </a:cubicBezTo>
                <a:cubicBezTo>
                  <a:pt x="558107" y="480103"/>
                  <a:pt x="537070" y="490538"/>
                  <a:pt x="537070" y="490538"/>
                </a:cubicBezTo>
                <a:cubicBezTo>
                  <a:pt x="522183" y="550092"/>
                  <a:pt x="541210" y="476049"/>
                  <a:pt x="527545" y="523875"/>
                </a:cubicBezTo>
                <a:cubicBezTo>
                  <a:pt x="525747" y="530169"/>
                  <a:pt x="526030" y="537242"/>
                  <a:pt x="522783" y="542925"/>
                </a:cubicBezTo>
                <a:cubicBezTo>
                  <a:pt x="519441" y="548773"/>
                  <a:pt x="513258" y="552450"/>
                  <a:pt x="508495" y="557213"/>
                </a:cubicBezTo>
                <a:cubicBezTo>
                  <a:pt x="500584" y="580946"/>
                  <a:pt x="497574" y="586037"/>
                  <a:pt x="494208" y="609600"/>
                </a:cubicBezTo>
                <a:cubicBezTo>
                  <a:pt x="486852" y="661093"/>
                  <a:pt x="498200" y="639331"/>
                  <a:pt x="479920" y="666750"/>
                </a:cubicBezTo>
                <a:cubicBezTo>
                  <a:pt x="478333" y="671513"/>
                  <a:pt x="479243" y="678120"/>
                  <a:pt x="475158" y="681038"/>
                </a:cubicBezTo>
                <a:cubicBezTo>
                  <a:pt x="475152" y="681042"/>
                  <a:pt x="439442" y="692943"/>
                  <a:pt x="432295" y="695325"/>
                </a:cubicBezTo>
                <a:lnTo>
                  <a:pt x="389433" y="709613"/>
                </a:lnTo>
                <a:cubicBezTo>
                  <a:pt x="383224" y="711683"/>
                  <a:pt x="376677" y="712577"/>
                  <a:pt x="370383" y="714375"/>
                </a:cubicBezTo>
                <a:cubicBezTo>
                  <a:pt x="365556" y="715754"/>
                  <a:pt x="360965" y="717920"/>
                  <a:pt x="356095" y="719138"/>
                </a:cubicBezTo>
                <a:cubicBezTo>
                  <a:pt x="337532" y="723779"/>
                  <a:pt x="317751" y="725976"/>
                  <a:pt x="298945" y="728663"/>
                </a:cubicBezTo>
                <a:cubicBezTo>
                  <a:pt x="287833" y="727075"/>
                  <a:pt x="276833" y="723900"/>
                  <a:pt x="265608" y="723900"/>
                </a:cubicBezTo>
                <a:cubicBezTo>
                  <a:pt x="229153" y="723900"/>
                  <a:pt x="184493" y="726729"/>
                  <a:pt x="146545" y="733425"/>
                </a:cubicBezTo>
                <a:cubicBezTo>
                  <a:pt x="130602" y="736238"/>
                  <a:pt x="115109" y="742950"/>
                  <a:pt x="98920" y="742950"/>
                </a:cubicBezTo>
                <a:lnTo>
                  <a:pt x="22720" y="76200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282057</xdr:colOff>
      <xdr:row>90</xdr:row>
      <xdr:rowOff>17556</xdr:rowOff>
    </xdr:from>
    <xdr:to>
      <xdr:col>10</xdr:col>
      <xdr:colOff>258525</xdr:colOff>
      <xdr:row>96</xdr:row>
      <xdr:rowOff>35059</xdr:rowOff>
    </xdr:to>
    <xdr:sp macro="" textlink="">
      <xdr:nvSpPr>
        <xdr:cNvPr id="40" name="Illinois"/>
        <xdr:cNvSpPr/>
      </xdr:nvSpPr>
      <xdr:spPr>
        <a:xfrm>
          <a:off x="5273157" y="15016256"/>
          <a:ext cx="586068" cy="1008103"/>
        </a:xfrm>
        <a:custGeom>
          <a:avLst/>
          <a:gdLst>
            <a:gd name="connsiteX0" fmla="*/ 109538 w 590550"/>
            <a:gd name="connsiteY0" fmla="*/ 80963 h 1038359"/>
            <a:gd name="connsiteX1" fmla="*/ 109538 w 590550"/>
            <a:gd name="connsiteY1" fmla="*/ 80963 h 1038359"/>
            <a:gd name="connsiteX2" fmla="*/ 123825 w 590550"/>
            <a:gd name="connsiteY2" fmla="*/ 119063 h 1038359"/>
            <a:gd name="connsiteX3" fmla="*/ 138113 w 590550"/>
            <a:gd name="connsiteY3" fmla="*/ 133350 h 1038359"/>
            <a:gd name="connsiteX4" fmla="*/ 142875 w 590550"/>
            <a:gd name="connsiteY4" fmla="*/ 147638 h 1038359"/>
            <a:gd name="connsiteX5" fmla="*/ 152400 w 590550"/>
            <a:gd name="connsiteY5" fmla="*/ 166688 h 1038359"/>
            <a:gd name="connsiteX6" fmla="*/ 161925 w 590550"/>
            <a:gd name="connsiteY6" fmla="*/ 195263 h 1038359"/>
            <a:gd name="connsiteX7" fmla="*/ 147638 w 590550"/>
            <a:gd name="connsiteY7" fmla="*/ 238125 h 1038359"/>
            <a:gd name="connsiteX8" fmla="*/ 133350 w 590550"/>
            <a:gd name="connsiteY8" fmla="*/ 242888 h 1038359"/>
            <a:gd name="connsiteX9" fmla="*/ 123825 w 590550"/>
            <a:gd name="connsiteY9" fmla="*/ 257175 h 1038359"/>
            <a:gd name="connsiteX10" fmla="*/ 80963 w 590550"/>
            <a:gd name="connsiteY10" fmla="*/ 276225 h 1038359"/>
            <a:gd name="connsiteX11" fmla="*/ 66675 w 590550"/>
            <a:gd name="connsiteY11" fmla="*/ 280988 h 1038359"/>
            <a:gd name="connsiteX12" fmla="*/ 61913 w 590550"/>
            <a:gd name="connsiteY12" fmla="*/ 295275 h 1038359"/>
            <a:gd name="connsiteX13" fmla="*/ 47625 w 590550"/>
            <a:gd name="connsiteY13" fmla="*/ 304800 h 1038359"/>
            <a:gd name="connsiteX14" fmla="*/ 38100 w 590550"/>
            <a:gd name="connsiteY14" fmla="*/ 319088 h 1038359"/>
            <a:gd name="connsiteX15" fmla="*/ 28575 w 590550"/>
            <a:gd name="connsiteY15" fmla="*/ 366713 h 1038359"/>
            <a:gd name="connsiteX16" fmla="*/ 23813 w 590550"/>
            <a:gd name="connsiteY16" fmla="*/ 381000 h 1038359"/>
            <a:gd name="connsiteX17" fmla="*/ 14288 w 590550"/>
            <a:gd name="connsiteY17" fmla="*/ 428625 h 1038359"/>
            <a:gd name="connsiteX18" fmla="*/ 9525 w 590550"/>
            <a:gd name="connsiteY18" fmla="*/ 457200 h 1038359"/>
            <a:gd name="connsiteX19" fmla="*/ 0 w 590550"/>
            <a:gd name="connsiteY19" fmla="*/ 485775 h 1038359"/>
            <a:gd name="connsiteX20" fmla="*/ 19050 w 590550"/>
            <a:gd name="connsiteY20" fmla="*/ 552450 h 1038359"/>
            <a:gd name="connsiteX21" fmla="*/ 23813 w 590550"/>
            <a:gd name="connsiteY21" fmla="*/ 566738 h 1038359"/>
            <a:gd name="connsiteX22" fmla="*/ 42863 w 590550"/>
            <a:gd name="connsiteY22" fmla="*/ 600075 h 1038359"/>
            <a:gd name="connsiteX23" fmla="*/ 52388 w 590550"/>
            <a:gd name="connsiteY23" fmla="*/ 628650 h 1038359"/>
            <a:gd name="connsiteX24" fmla="*/ 57150 w 590550"/>
            <a:gd name="connsiteY24" fmla="*/ 642938 h 1038359"/>
            <a:gd name="connsiteX25" fmla="*/ 104775 w 590550"/>
            <a:gd name="connsiteY25" fmla="*/ 657225 h 1038359"/>
            <a:gd name="connsiteX26" fmla="*/ 119063 w 590550"/>
            <a:gd name="connsiteY26" fmla="*/ 661988 h 1038359"/>
            <a:gd name="connsiteX27" fmla="*/ 123825 w 590550"/>
            <a:gd name="connsiteY27" fmla="*/ 676275 h 1038359"/>
            <a:gd name="connsiteX28" fmla="*/ 128588 w 590550"/>
            <a:gd name="connsiteY28" fmla="*/ 723900 h 1038359"/>
            <a:gd name="connsiteX29" fmla="*/ 142875 w 590550"/>
            <a:gd name="connsiteY29" fmla="*/ 733425 h 1038359"/>
            <a:gd name="connsiteX30" fmla="*/ 161925 w 590550"/>
            <a:gd name="connsiteY30" fmla="*/ 728663 h 1038359"/>
            <a:gd name="connsiteX31" fmla="*/ 190500 w 590550"/>
            <a:gd name="connsiteY31" fmla="*/ 719138 h 1038359"/>
            <a:gd name="connsiteX32" fmla="*/ 200025 w 590550"/>
            <a:gd name="connsiteY32" fmla="*/ 795338 h 1038359"/>
            <a:gd name="connsiteX33" fmla="*/ 204788 w 590550"/>
            <a:gd name="connsiteY33" fmla="*/ 819150 h 1038359"/>
            <a:gd name="connsiteX34" fmla="*/ 209550 w 590550"/>
            <a:gd name="connsiteY34" fmla="*/ 847725 h 1038359"/>
            <a:gd name="connsiteX35" fmla="*/ 219075 w 590550"/>
            <a:gd name="connsiteY35" fmla="*/ 885825 h 1038359"/>
            <a:gd name="connsiteX36" fmla="*/ 261938 w 590550"/>
            <a:gd name="connsiteY36" fmla="*/ 900113 h 1038359"/>
            <a:gd name="connsiteX37" fmla="*/ 276225 w 590550"/>
            <a:gd name="connsiteY37" fmla="*/ 904875 h 1038359"/>
            <a:gd name="connsiteX38" fmla="*/ 300038 w 590550"/>
            <a:gd name="connsiteY38" fmla="*/ 928688 h 1038359"/>
            <a:gd name="connsiteX39" fmla="*/ 319088 w 590550"/>
            <a:gd name="connsiteY39" fmla="*/ 971550 h 1038359"/>
            <a:gd name="connsiteX40" fmla="*/ 333375 w 590550"/>
            <a:gd name="connsiteY40" fmla="*/ 976313 h 1038359"/>
            <a:gd name="connsiteX41" fmla="*/ 352425 w 590550"/>
            <a:gd name="connsiteY41" fmla="*/ 990600 h 1038359"/>
            <a:gd name="connsiteX42" fmla="*/ 376238 w 590550"/>
            <a:gd name="connsiteY42" fmla="*/ 1014413 h 1038359"/>
            <a:gd name="connsiteX43" fmla="*/ 395288 w 590550"/>
            <a:gd name="connsiteY43" fmla="*/ 1038225 h 1038359"/>
            <a:gd name="connsiteX44" fmla="*/ 414338 w 590550"/>
            <a:gd name="connsiteY44" fmla="*/ 1033463 h 1038359"/>
            <a:gd name="connsiteX45" fmla="*/ 423863 w 590550"/>
            <a:gd name="connsiteY45" fmla="*/ 1019175 h 1038359"/>
            <a:gd name="connsiteX46" fmla="*/ 438150 w 590550"/>
            <a:gd name="connsiteY46" fmla="*/ 1014413 h 1038359"/>
            <a:gd name="connsiteX47" fmla="*/ 481013 w 590550"/>
            <a:gd name="connsiteY47" fmla="*/ 1004888 h 1038359"/>
            <a:gd name="connsiteX48" fmla="*/ 500063 w 590550"/>
            <a:gd name="connsiteY48" fmla="*/ 976313 h 1038359"/>
            <a:gd name="connsiteX49" fmla="*/ 509588 w 590550"/>
            <a:gd name="connsiteY49" fmla="*/ 962025 h 1038359"/>
            <a:gd name="connsiteX50" fmla="*/ 519113 w 590550"/>
            <a:gd name="connsiteY50" fmla="*/ 928688 h 1038359"/>
            <a:gd name="connsiteX51" fmla="*/ 542925 w 590550"/>
            <a:gd name="connsiteY51" fmla="*/ 900113 h 1038359"/>
            <a:gd name="connsiteX52" fmla="*/ 552450 w 590550"/>
            <a:gd name="connsiteY52" fmla="*/ 885825 h 1038359"/>
            <a:gd name="connsiteX53" fmla="*/ 557213 w 590550"/>
            <a:gd name="connsiteY53" fmla="*/ 866775 h 1038359"/>
            <a:gd name="connsiteX54" fmla="*/ 561975 w 590550"/>
            <a:gd name="connsiteY54" fmla="*/ 742950 h 1038359"/>
            <a:gd name="connsiteX55" fmla="*/ 566738 w 590550"/>
            <a:gd name="connsiteY55" fmla="*/ 728663 h 1038359"/>
            <a:gd name="connsiteX56" fmla="*/ 576263 w 590550"/>
            <a:gd name="connsiteY56" fmla="*/ 714375 h 1038359"/>
            <a:gd name="connsiteX57" fmla="*/ 585788 w 590550"/>
            <a:gd name="connsiteY57" fmla="*/ 685800 h 1038359"/>
            <a:gd name="connsiteX58" fmla="*/ 590550 w 590550"/>
            <a:gd name="connsiteY58" fmla="*/ 671513 h 1038359"/>
            <a:gd name="connsiteX59" fmla="*/ 585788 w 590550"/>
            <a:gd name="connsiteY59" fmla="*/ 623888 h 1038359"/>
            <a:gd name="connsiteX60" fmla="*/ 566738 w 590550"/>
            <a:gd name="connsiteY60" fmla="*/ 595313 h 1038359"/>
            <a:gd name="connsiteX61" fmla="*/ 561975 w 590550"/>
            <a:gd name="connsiteY61" fmla="*/ 581025 h 1038359"/>
            <a:gd name="connsiteX62" fmla="*/ 576263 w 590550"/>
            <a:gd name="connsiteY62" fmla="*/ 557213 h 1038359"/>
            <a:gd name="connsiteX63" fmla="*/ 523875 w 590550"/>
            <a:gd name="connsiteY63" fmla="*/ 128588 h 1038359"/>
            <a:gd name="connsiteX64" fmla="*/ 490538 w 590550"/>
            <a:gd name="connsiteY64" fmla="*/ 95250 h 1038359"/>
            <a:gd name="connsiteX65" fmla="*/ 485775 w 590550"/>
            <a:gd name="connsiteY65" fmla="*/ 80963 h 1038359"/>
            <a:gd name="connsiteX66" fmla="*/ 476250 w 590550"/>
            <a:gd name="connsiteY66" fmla="*/ 66675 h 1038359"/>
            <a:gd name="connsiteX67" fmla="*/ 457200 w 590550"/>
            <a:gd name="connsiteY67" fmla="*/ 9525 h 1038359"/>
            <a:gd name="connsiteX68" fmla="*/ 447675 w 590550"/>
            <a:gd name="connsiteY68" fmla="*/ 0 h 1038359"/>
            <a:gd name="connsiteX69" fmla="*/ 109538 w 590550"/>
            <a:gd name="connsiteY69" fmla="*/ 80963 h 103835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590550" h="1038359">
              <a:moveTo>
                <a:pt x="109538" y="80963"/>
              </a:moveTo>
              <a:lnTo>
                <a:pt x="109538" y="80963"/>
              </a:lnTo>
              <a:cubicBezTo>
                <a:pt x="114300" y="93663"/>
                <a:pt x="117330" y="107156"/>
                <a:pt x="123825" y="119063"/>
              </a:cubicBezTo>
              <a:cubicBezTo>
                <a:pt x="127050" y="124976"/>
                <a:pt x="134377" y="127746"/>
                <a:pt x="138113" y="133350"/>
              </a:cubicBezTo>
              <a:cubicBezTo>
                <a:pt x="140898" y="137527"/>
                <a:pt x="140898" y="143024"/>
                <a:pt x="142875" y="147638"/>
              </a:cubicBezTo>
              <a:cubicBezTo>
                <a:pt x="145672" y="154164"/>
                <a:pt x="149763" y="160096"/>
                <a:pt x="152400" y="166688"/>
              </a:cubicBezTo>
              <a:cubicBezTo>
                <a:pt x="156129" y="176010"/>
                <a:pt x="161925" y="195263"/>
                <a:pt x="161925" y="195263"/>
              </a:cubicBezTo>
              <a:cubicBezTo>
                <a:pt x="159601" y="209207"/>
                <a:pt x="160517" y="227822"/>
                <a:pt x="147638" y="238125"/>
              </a:cubicBezTo>
              <a:cubicBezTo>
                <a:pt x="143718" y="241261"/>
                <a:pt x="138113" y="241300"/>
                <a:pt x="133350" y="242888"/>
              </a:cubicBezTo>
              <a:cubicBezTo>
                <a:pt x="130175" y="247650"/>
                <a:pt x="127872" y="253128"/>
                <a:pt x="123825" y="257175"/>
              </a:cubicBezTo>
              <a:cubicBezTo>
                <a:pt x="112504" y="268496"/>
                <a:pt x="95112" y="271509"/>
                <a:pt x="80963" y="276225"/>
              </a:cubicBezTo>
              <a:lnTo>
                <a:pt x="66675" y="280988"/>
              </a:lnTo>
              <a:cubicBezTo>
                <a:pt x="65088" y="285750"/>
                <a:pt x="65049" y="291355"/>
                <a:pt x="61913" y="295275"/>
              </a:cubicBezTo>
              <a:cubicBezTo>
                <a:pt x="58337" y="299745"/>
                <a:pt x="51672" y="300753"/>
                <a:pt x="47625" y="304800"/>
              </a:cubicBezTo>
              <a:cubicBezTo>
                <a:pt x="43578" y="308847"/>
                <a:pt x="41275" y="314325"/>
                <a:pt x="38100" y="319088"/>
              </a:cubicBezTo>
              <a:cubicBezTo>
                <a:pt x="34356" y="341552"/>
                <a:pt x="34261" y="346814"/>
                <a:pt x="28575" y="366713"/>
              </a:cubicBezTo>
              <a:cubicBezTo>
                <a:pt x="27196" y="371540"/>
                <a:pt x="24942" y="376109"/>
                <a:pt x="23813" y="381000"/>
              </a:cubicBezTo>
              <a:cubicBezTo>
                <a:pt x="20173" y="396775"/>
                <a:pt x="17463" y="412750"/>
                <a:pt x="14288" y="428625"/>
              </a:cubicBezTo>
              <a:cubicBezTo>
                <a:pt x="12394" y="438094"/>
                <a:pt x="11867" y="447832"/>
                <a:pt x="9525" y="457200"/>
              </a:cubicBezTo>
              <a:cubicBezTo>
                <a:pt x="7090" y="466940"/>
                <a:pt x="0" y="485775"/>
                <a:pt x="0" y="485775"/>
              </a:cubicBezTo>
              <a:cubicBezTo>
                <a:pt x="11959" y="533610"/>
                <a:pt x="5386" y="511460"/>
                <a:pt x="19050" y="552450"/>
              </a:cubicBezTo>
              <a:cubicBezTo>
                <a:pt x="20638" y="557213"/>
                <a:pt x="21028" y="562561"/>
                <a:pt x="23813" y="566738"/>
              </a:cubicBezTo>
              <a:cubicBezTo>
                <a:pt x="32405" y="579626"/>
                <a:pt x="36820" y="584968"/>
                <a:pt x="42863" y="600075"/>
              </a:cubicBezTo>
              <a:cubicBezTo>
                <a:pt x="46592" y="609397"/>
                <a:pt x="49213" y="619125"/>
                <a:pt x="52388" y="628650"/>
              </a:cubicBezTo>
              <a:cubicBezTo>
                <a:pt x="53975" y="633413"/>
                <a:pt x="52973" y="640153"/>
                <a:pt x="57150" y="642938"/>
              </a:cubicBezTo>
              <a:cubicBezTo>
                <a:pt x="80778" y="658689"/>
                <a:pt x="65772" y="651654"/>
                <a:pt x="104775" y="657225"/>
              </a:cubicBezTo>
              <a:cubicBezTo>
                <a:pt x="109538" y="658813"/>
                <a:pt x="115513" y="658438"/>
                <a:pt x="119063" y="661988"/>
              </a:cubicBezTo>
              <a:cubicBezTo>
                <a:pt x="122613" y="665538"/>
                <a:pt x="123062" y="671313"/>
                <a:pt x="123825" y="676275"/>
              </a:cubicBezTo>
              <a:cubicBezTo>
                <a:pt x="126251" y="692044"/>
                <a:pt x="123543" y="708765"/>
                <a:pt x="128588" y="723900"/>
              </a:cubicBezTo>
              <a:cubicBezTo>
                <a:pt x="130398" y="729330"/>
                <a:pt x="138113" y="730250"/>
                <a:pt x="142875" y="733425"/>
              </a:cubicBezTo>
              <a:cubicBezTo>
                <a:pt x="149225" y="731838"/>
                <a:pt x="155656" y="730544"/>
                <a:pt x="161925" y="728663"/>
              </a:cubicBezTo>
              <a:cubicBezTo>
                <a:pt x="171542" y="725778"/>
                <a:pt x="190500" y="719138"/>
                <a:pt x="190500" y="719138"/>
              </a:cubicBezTo>
              <a:cubicBezTo>
                <a:pt x="202642" y="755558"/>
                <a:pt x="191446" y="718124"/>
                <a:pt x="200025" y="795338"/>
              </a:cubicBezTo>
              <a:cubicBezTo>
                <a:pt x="200919" y="803383"/>
                <a:pt x="203340" y="811186"/>
                <a:pt x="204788" y="819150"/>
              </a:cubicBezTo>
              <a:cubicBezTo>
                <a:pt x="206515" y="828651"/>
                <a:pt x="207527" y="838283"/>
                <a:pt x="209550" y="847725"/>
              </a:cubicBezTo>
              <a:cubicBezTo>
                <a:pt x="212293" y="860525"/>
                <a:pt x="206656" y="881685"/>
                <a:pt x="219075" y="885825"/>
              </a:cubicBezTo>
              <a:lnTo>
                <a:pt x="261938" y="900113"/>
              </a:lnTo>
              <a:lnTo>
                <a:pt x="276225" y="904875"/>
              </a:lnTo>
              <a:cubicBezTo>
                <a:pt x="289260" y="913565"/>
                <a:pt x="293353" y="913647"/>
                <a:pt x="300038" y="928688"/>
              </a:cubicBezTo>
              <a:cubicBezTo>
                <a:pt x="304454" y="938625"/>
                <a:pt x="307938" y="962629"/>
                <a:pt x="319088" y="971550"/>
              </a:cubicBezTo>
              <a:cubicBezTo>
                <a:pt x="323008" y="974686"/>
                <a:pt x="328613" y="974725"/>
                <a:pt x="333375" y="976313"/>
              </a:cubicBezTo>
              <a:cubicBezTo>
                <a:pt x="339725" y="981075"/>
                <a:pt x="346812" y="984987"/>
                <a:pt x="352425" y="990600"/>
              </a:cubicBezTo>
              <a:cubicBezTo>
                <a:pt x="384176" y="1022351"/>
                <a:pt x="338137" y="989013"/>
                <a:pt x="376238" y="1014413"/>
              </a:cubicBezTo>
              <a:cubicBezTo>
                <a:pt x="379842" y="1025224"/>
                <a:pt x="380208" y="1036071"/>
                <a:pt x="395288" y="1038225"/>
              </a:cubicBezTo>
              <a:cubicBezTo>
                <a:pt x="401768" y="1039151"/>
                <a:pt x="407988" y="1035050"/>
                <a:pt x="414338" y="1033463"/>
              </a:cubicBezTo>
              <a:cubicBezTo>
                <a:pt x="417513" y="1028700"/>
                <a:pt x="419393" y="1022751"/>
                <a:pt x="423863" y="1019175"/>
              </a:cubicBezTo>
              <a:cubicBezTo>
                <a:pt x="427783" y="1016039"/>
                <a:pt x="433250" y="1015502"/>
                <a:pt x="438150" y="1014413"/>
              </a:cubicBezTo>
              <a:cubicBezTo>
                <a:pt x="488443" y="1003237"/>
                <a:pt x="448847" y="1015608"/>
                <a:pt x="481013" y="1004888"/>
              </a:cubicBezTo>
              <a:lnTo>
                <a:pt x="500063" y="976313"/>
              </a:lnTo>
              <a:lnTo>
                <a:pt x="509588" y="962025"/>
              </a:lnTo>
              <a:cubicBezTo>
                <a:pt x="511115" y="955915"/>
                <a:pt x="515694" y="935525"/>
                <a:pt x="519113" y="928688"/>
              </a:cubicBezTo>
              <a:cubicBezTo>
                <a:pt x="527983" y="910948"/>
                <a:pt x="529756" y="915916"/>
                <a:pt x="542925" y="900113"/>
              </a:cubicBezTo>
              <a:cubicBezTo>
                <a:pt x="546589" y="895716"/>
                <a:pt x="549275" y="890588"/>
                <a:pt x="552450" y="885825"/>
              </a:cubicBezTo>
              <a:cubicBezTo>
                <a:pt x="554038" y="879475"/>
                <a:pt x="556778" y="873306"/>
                <a:pt x="557213" y="866775"/>
              </a:cubicBezTo>
              <a:cubicBezTo>
                <a:pt x="559961" y="825561"/>
                <a:pt x="559133" y="784158"/>
                <a:pt x="561975" y="742950"/>
              </a:cubicBezTo>
              <a:cubicBezTo>
                <a:pt x="562320" y="737942"/>
                <a:pt x="564493" y="733153"/>
                <a:pt x="566738" y="728663"/>
              </a:cubicBezTo>
              <a:cubicBezTo>
                <a:pt x="569298" y="723543"/>
                <a:pt x="573088" y="719138"/>
                <a:pt x="576263" y="714375"/>
              </a:cubicBezTo>
              <a:lnTo>
                <a:pt x="585788" y="685800"/>
              </a:lnTo>
              <a:lnTo>
                <a:pt x="590550" y="671513"/>
              </a:lnTo>
              <a:cubicBezTo>
                <a:pt x="588963" y="655638"/>
                <a:pt x="590547" y="639116"/>
                <a:pt x="585788" y="623888"/>
              </a:cubicBezTo>
              <a:cubicBezTo>
                <a:pt x="582374" y="612961"/>
                <a:pt x="573088" y="604838"/>
                <a:pt x="566738" y="595313"/>
              </a:cubicBezTo>
              <a:cubicBezTo>
                <a:pt x="563953" y="591136"/>
                <a:pt x="563563" y="585788"/>
                <a:pt x="561975" y="581025"/>
              </a:cubicBezTo>
              <a:cubicBezTo>
                <a:pt x="568158" y="562478"/>
                <a:pt x="563188" y="570288"/>
                <a:pt x="576263" y="557213"/>
              </a:cubicBezTo>
              <a:lnTo>
                <a:pt x="523875" y="128588"/>
              </a:lnTo>
              <a:cubicBezTo>
                <a:pt x="512763" y="117475"/>
                <a:pt x="500355" y="107522"/>
                <a:pt x="490538" y="95250"/>
              </a:cubicBezTo>
              <a:cubicBezTo>
                <a:pt x="487402" y="91330"/>
                <a:pt x="488020" y="85453"/>
                <a:pt x="485775" y="80963"/>
              </a:cubicBezTo>
              <a:cubicBezTo>
                <a:pt x="483215" y="75843"/>
                <a:pt x="479425" y="71438"/>
                <a:pt x="476250" y="66675"/>
              </a:cubicBezTo>
              <a:lnTo>
                <a:pt x="457200" y="9525"/>
              </a:lnTo>
              <a:cubicBezTo>
                <a:pt x="455780" y="5265"/>
                <a:pt x="450850" y="3175"/>
                <a:pt x="447675" y="0"/>
              </a:cubicBezTo>
              <a:lnTo>
                <a:pt x="109538" y="809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196613</xdr:colOff>
      <xdr:row>90</xdr:row>
      <xdr:rowOff>79469</xdr:rowOff>
    </xdr:from>
    <xdr:to>
      <xdr:col>11</xdr:col>
      <xdr:colOff>29925</xdr:colOff>
      <xdr:row>95</xdr:row>
      <xdr:rowOff>19331</xdr:rowOff>
    </xdr:to>
    <xdr:sp macro="" textlink="">
      <xdr:nvSpPr>
        <xdr:cNvPr id="41" name="Indiana"/>
        <xdr:cNvSpPr/>
      </xdr:nvSpPr>
      <xdr:spPr>
        <a:xfrm>
          <a:off x="5797313" y="15078169"/>
          <a:ext cx="442912" cy="765362"/>
        </a:xfrm>
        <a:custGeom>
          <a:avLst/>
          <a:gdLst>
            <a:gd name="connsiteX0" fmla="*/ 0 w 442912"/>
            <a:gd name="connsiteY0" fmla="*/ 71437 h 790575"/>
            <a:gd name="connsiteX1" fmla="*/ 42862 w 442912"/>
            <a:gd name="connsiteY1" fmla="*/ 490537 h 790575"/>
            <a:gd name="connsiteX2" fmla="*/ 23812 w 442912"/>
            <a:gd name="connsiteY2" fmla="*/ 528637 h 790575"/>
            <a:gd name="connsiteX3" fmla="*/ 52387 w 442912"/>
            <a:gd name="connsiteY3" fmla="*/ 538162 h 790575"/>
            <a:gd name="connsiteX4" fmla="*/ 80962 w 442912"/>
            <a:gd name="connsiteY4" fmla="*/ 552450 h 790575"/>
            <a:gd name="connsiteX5" fmla="*/ 71437 w 442912"/>
            <a:gd name="connsiteY5" fmla="*/ 590550 h 790575"/>
            <a:gd name="connsiteX6" fmla="*/ 61912 w 442912"/>
            <a:gd name="connsiteY6" fmla="*/ 604837 h 790575"/>
            <a:gd name="connsiteX7" fmla="*/ 52387 w 442912"/>
            <a:gd name="connsiteY7" fmla="*/ 638175 h 790575"/>
            <a:gd name="connsiteX8" fmla="*/ 38100 w 442912"/>
            <a:gd name="connsiteY8" fmla="*/ 685800 h 790575"/>
            <a:gd name="connsiteX9" fmla="*/ 33337 w 442912"/>
            <a:gd name="connsiteY9" fmla="*/ 719137 h 790575"/>
            <a:gd name="connsiteX10" fmla="*/ 38100 w 442912"/>
            <a:gd name="connsiteY10" fmla="*/ 785812 h 790575"/>
            <a:gd name="connsiteX11" fmla="*/ 52387 w 442912"/>
            <a:gd name="connsiteY11" fmla="*/ 790575 h 790575"/>
            <a:gd name="connsiteX12" fmla="*/ 104775 w 442912"/>
            <a:gd name="connsiteY12" fmla="*/ 781050 h 790575"/>
            <a:gd name="connsiteX13" fmla="*/ 133350 w 442912"/>
            <a:gd name="connsiteY13" fmla="*/ 771525 h 790575"/>
            <a:gd name="connsiteX14" fmla="*/ 147637 w 442912"/>
            <a:gd name="connsiteY14" fmla="*/ 762000 h 790575"/>
            <a:gd name="connsiteX15" fmla="*/ 166687 w 442912"/>
            <a:gd name="connsiteY15" fmla="*/ 752475 h 790575"/>
            <a:gd name="connsiteX16" fmla="*/ 190500 w 442912"/>
            <a:gd name="connsiteY16" fmla="*/ 733425 h 790575"/>
            <a:gd name="connsiteX17" fmla="*/ 204787 w 442912"/>
            <a:gd name="connsiteY17" fmla="*/ 723900 h 790575"/>
            <a:gd name="connsiteX18" fmla="*/ 219075 w 442912"/>
            <a:gd name="connsiteY18" fmla="*/ 719137 h 790575"/>
            <a:gd name="connsiteX19" fmla="*/ 233362 w 442912"/>
            <a:gd name="connsiteY19" fmla="*/ 704850 h 790575"/>
            <a:gd name="connsiteX20" fmla="*/ 247650 w 442912"/>
            <a:gd name="connsiteY20" fmla="*/ 695325 h 790575"/>
            <a:gd name="connsiteX21" fmla="*/ 257175 w 442912"/>
            <a:gd name="connsiteY21" fmla="*/ 709612 h 790575"/>
            <a:gd name="connsiteX22" fmla="*/ 261937 w 442912"/>
            <a:gd name="connsiteY22" fmla="*/ 723900 h 790575"/>
            <a:gd name="connsiteX23" fmla="*/ 280987 w 442912"/>
            <a:gd name="connsiteY23" fmla="*/ 719137 h 790575"/>
            <a:gd name="connsiteX24" fmla="*/ 309562 w 442912"/>
            <a:gd name="connsiteY24" fmla="*/ 671512 h 790575"/>
            <a:gd name="connsiteX25" fmla="*/ 319087 w 442912"/>
            <a:gd name="connsiteY25" fmla="*/ 642937 h 790575"/>
            <a:gd name="connsiteX26" fmla="*/ 323850 w 442912"/>
            <a:gd name="connsiteY26" fmla="*/ 628650 h 790575"/>
            <a:gd name="connsiteX27" fmla="*/ 342900 w 442912"/>
            <a:gd name="connsiteY27" fmla="*/ 600075 h 790575"/>
            <a:gd name="connsiteX28" fmla="*/ 371475 w 442912"/>
            <a:gd name="connsiteY28" fmla="*/ 576262 h 790575"/>
            <a:gd name="connsiteX29" fmla="*/ 409575 w 442912"/>
            <a:gd name="connsiteY29" fmla="*/ 557212 h 790575"/>
            <a:gd name="connsiteX30" fmla="*/ 428625 w 442912"/>
            <a:gd name="connsiteY30" fmla="*/ 547687 h 790575"/>
            <a:gd name="connsiteX31" fmla="*/ 442912 w 442912"/>
            <a:gd name="connsiteY31" fmla="*/ 533400 h 790575"/>
            <a:gd name="connsiteX32" fmla="*/ 438150 w 442912"/>
            <a:gd name="connsiteY32" fmla="*/ 495300 h 790575"/>
            <a:gd name="connsiteX33" fmla="*/ 342900 w 442912"/>
            <a:gd name="connsiteY33" fmla="*/ 0 h 790575"/>
            <a:gd name="connsiteX34" fmla="*/ 61912 w 442912"/>
            <a:gd name="connsiteY34" fmla="*/ 47625 h 790575"/>
            <a:gd name="connsiteX35" fmla="*/ 0 w 442912"/>
            <a:gd name="connsiteY35" fmla="*/ 71437 h 7905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Lst>
          <a:rect l="l" t="t" r="r" b="b"/>
          <a:pathLst>
            <a:path w="442912" h="790575">
              <a:moveTo>
                <a:pt x="0" y="71437"/>
              </a:moveTo>
              <a:lnTo>
                <a:pt x="42862" y="490537"/>
              </a:lnTo>
              <a:cubicBezTo>
                <a:pt x="36512" y="503237"/>
                <a:pt x="21027" y="514714"/>
                <a:pt x="23812" y="528637"/>
              </a:cubicBezTo>
              <a:cubicBezTo>
                <a:pt x="25781" y="538482"/>
                <a:pt x="42862" y="534987"/>
                <a:pt x="52387" y="538162"/>
              </a:cubicBezTo>
              <a:cubicBezTo>
                <a:pt x="72104" y="544734"/>
                <a:pt x="62499" y="540141"/>
                <a:pt x="80962" y="552450"/>
              </a:cubicBezTo>
              <a:cubicBezTo>
                <a:pt x="79150" y="561511"/>
                <a:pt x="76320" y="580785"/>
                <a:pt x="71437" y="590550"/>
              </a:cubicBezTo>
              <a:cubicBezTo>
                <a:pt x="68877" y="595669"/>
                <a:pt x="65087" y="600075"/>
                <a:pt x="61912" y="604837"/>
              </a:cubicBezTo>
              <a:cubicBezTo>
                <a:pt x="45896" y="652893"/>
                <a:pt x="70343" y="578324"/>
                <a:pt x="52387" y="638175"/>
              </a:cubicBezTo>
              <a:cubicBezTo>
                <a:pt x="46649" y="657300"/>
                <a:pt x="41479" y="667218"/>
                <a:pt x="38100" y="685800"/>
              </a:cubicBezTo>
              <a:cubicBezTo>
                <a:pt x="36092" y="696844"/>
                <a:pt x="34925" y="708025"/>
                <a:pt x="33337" y="719137"/>
              </a:cubicBezTo>
              <a:cubicBezTo>
                <a:pt x="34925" y="741362"/>
                <a:pt x="32359" y="764283"/>
                <a:pt x="38100" y="785812"/>
              </a:cubicBezTo>
              <a:cubicBezTo>
                <a:pt x="39393" y="790663"/>
                <a:pt x="47367" y="790575"/>
                <a:pt x="52387" y="790575"/>
              </a:cubicBezTo>
              <a:cubicBezTo>
                <a:pt x="64680" y="790575"/>
                <a:pt x="90883" y="785217"/>
                <a:pt x="104775" y="781050"/>
              </a:cubicBezTo>
              <a:cubicBezTo>
                <a:pt x="114392" y="778165"/>
                <a:pt x="133350" y="771525"/>
                <a:pt x="133350" y="771525"/>
              </a:cubicBezTo>
              <a:cubicBezTo>
                <a:pt x="138112" y="768350"/>
                <a:pt x="142667" y="764840"/>
                <a:pt x="147637" y="762000"/>
              </a:cubicBezTo>
              <a:cubicBezTo>
                <a:pt x="153801" y="758478"/>
                <a:pt x="161233" y="757020"/>
                <a:pt x="166687" y="752475"/>
              </a:cubicBezTo>
              <a:cubicBezTo>
                <a:pt x="195408" y="728540"/>
                <a:pt x="156388" y="744794"/>
                <a:pt x="190500" y="733425"/>
              </a:cubicBezTo>
              <a:cubicBezTo>
                <a:pt x="195262" y="730250"/>
                <a:pt x="199668" y="726460"/>
                <a:pt x="204787" y="723900"/>
              </a:cubicBezTo>
              <a:cubicBezTo>
                <a:pt x="209277" y="721655"/>
                <a:pt x="214898" y="721922"/>
                <a:pt x="219075" y="719137"/>
              </a:cubicBezTo>
              <a:cubicBezTo>
                <a:pt x="224679" y="715401"/>
                <a:pt x="228188" y="709162"/>
                <a:pt x="233362" y="704850"/>
              </a:cubicBezTo>
              <a:cubicBezTo>
                <a:pt x="237759" y="701186"/>
                <a:pt x="242887" y="698500"/>
                <a:pt x="247650" y="695325"/>
              </a:cubicBezTo>
              <a:cubicBezTo>
                <a:pt x="250825" y="700087"/>
                <a:pt x="254615" y="704493"/>
                <a:pt x="257175" y="709612"/>
              </a:cubicBezTo>
              <a:cubicBezTo>
                <a:pt x="259420" y="714102"/>
                <a:pt x="257276" y="722036"/>
                <a:pt x="261937" y="723900"/>
              </a:cubicBezTo>
              <a:cubicBezTo>
                <a:pt x="268014" y="726331"/>
                <a:pt x="274637" y="720725"/>
                <a:pt x="280987" y="719137"/>
              </a:cubicBezTo>
              <a:cubicBezTo>
                <a:pt x="292168" y="702365"/>
                <a:pt x="302240" y="689818"/>
                <a:pt x="309562" y="671512"/>
              </a:cubicBezTo>
              <a:cubicBezTo>
                <a:pt x="313291" y="662190"/>
                <a:pt x="315912" y="652462"/>
                <a:pt x="319087" y="642937"/>
              </a:cubicBezTo>
              <a:cubicBezTo>
                <a:pt x="320675" y="638175"/>
                <a:pt x="321065" y="632827"/>
                <a:pt x="323850" y="628650"/>
              </a:cubicBezTo>
              <a:cubicBezTo>
                <a:pt x="330200" y="619125"/>
                <a:pt x="334806" y="608170"/>
                <a:pt x="342900" y="600075"/>
              </a:cubicBezTo>
              <a:cubicBezTo>
                <a:pt x="354995" y="587980"/>
                <a:pt x="356886" y="584220"/>
                <a:pt x="371475" y="576262"/>
              </a:cubicBezTo>
              <a:cubicBezTo>
                <a:pt x="383940" y="569463"/>
                <a:pt x="396875" y="563562"/>
                <a:pt x="409575" y="557212"/>
              </a:cubicBezTo>
              <a:cubicBezTo>
                <a:pt x="415925" y="554037"/>
                <a:pt x="423605" y="552707"/>
                <a:pt x="428625" y="547687"/>
              </a:cubicBezTo>
              <a:lnTo>
                <a:pt x="442912" y="533400"/>
              </a:lnTo>
              <a:cubicBezTo>
                <a:pt x="436610" y="508190"/>
                <a:pt x="438150" y="520895"/>
                <a:pt x="438150" y="495300"/>
              </a:cubicBezTo>
              <a:lnTo>
                <a:pt x="342900" y="0"/>
              </a:lnTo>
              <a:lnTo>
                <a:pt x="61912" y="47625"/>
              </a:ln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544275</xdr:colOff>
      <xdr:row>89</xdr:row>
      <xdr:rowOff>73399</xdr:rowOff>
    </xdr:from>
    <xdr:to>
      <xdr:col>11</xdr:col>
      <xdr:colOff>554639</xdr:colOff>
      <xdr:row>93</xdr:row>
      <xdr:rowOff>92916</xdr:rowOff>
    </xdr:to>
    <xdr:sp macro="" textlink="">
      <xdr:nvSpPr>
        <xdr:cNvPr id="42" name="Ohio"/>
        <xdr:cNvSpPr/>
      </xdr:nvSpPr>
      <xdr:spPr>
        <a:xfrm>
          <a:off x="6144975" y="14906999"/>
          <a:ext cx="619964" cy="679917"/>
        </a:xfrm>
        <a:custGeom>
          <a:avLst/>
          <a:gdLst>
            <a:gd name="connsiteX0" fmla="*/ 0 w 624446"/>
            <a:gd name="connsiteY0" fmla="*/ 190500 h 700088"/>
            <a:gd name="connsiteX1" fmla="*/ 0 w 624446"/>
            <a:gd name="connsiteY1" fmla="*/ 190500 h 700088"/>
            <a:gd name="connsiteX2" fmla="*/ 19050 w 624446"/>
            <a:gd name="connsiteY2" fmla="*/ 247650 h 700088"/>
            <a:gd name="connsiteX3" fmla="*/ 23813 w 624446"/>
            <a:gd name="connsiteY3" fmla="*/ 261938 h 700088"/>
            <a:gd name="connsiteX4" fmla="*/ 33338 w 624446"/>
            <a:gd name="connsiteY4" fmla="*/ 300038 h 700088"/>
            <a:gd name="connsiteX5" fmla="*/ 42863 w 624446"/>
            <a:gd name="connsiteY5" fmla="*/ 352425 h 700088"/>
            <a:gd name="connsiteX6" fmla="*/ 47625 w 624446"/>
            <a:gd name="connsiteY6" fmla="*/ 366713 h 700088"/>
            <a:gd name="connsiteX7" fmla="*/ 52388 w 624446"/>
            <a:gd name="connsiteY7" fmla="*/ 385763 h 700088"/>
            <a:gd name="connsiteX8" fmla="*/ 57150 w 624446"/>
            <a:gd name="connsiteY8" fmla="*/ 400050 h 700088"/>
            <a:gd name="connsiteX9" fmla="*/ 61913 w 624446"/>
            <a:gd name="connsiteY9" fmla="*/ 428625 h 700088"/>
            <a:gd name="connsiteX10" fmla="*/ 71438 w 624446"/>
            <a:gd name="connsiteY10" fmla="*/ 542925 h 700088"/>
            <a:gd name="connsiteX11" fmla="*/ 80963 w 624446"/>
            <a:gd name="connsiteY11" fmla="*/ 581025 h 700088"/>
            <a:gd name="connsiteX12" fmla="*/ 85725 w 624446"/>
            <a:gd name="connsiteY12" fmla="*/ 600075 h 700088"/>
            <a:gd name="connsiteX13" fmla="*/ 90488 w 624446"/>
            <a:gd name="connsiteY13" fmla="*/ 614363 h 700088"/>
            <a:gd name="connsiteX14" fmla="*/ 104775 w 624446"/>
            <a:gd name="connsiteY14" fmla="*/ 661988 h 700088"/>
            <a:gd name="connsiteX15" fmla="*/ 147638 w 624446"/>
            <a:gd name="connsiteY15" fmla="*/ 676275 h 700088"/>
            <a:gd name="connsiteX16" fmla="*/ 161925 w 624446"/>
            <a:gd name="connsiteY16" fmla="*/ 681038 h 700088"/>
            <a:gd name="connsiteX17" fmla="*/ 176213 w 624446"/>
            <a:gd name="connsiteY17" fmla="*/ 690563 h 700088"/>
            <a:gd name="connsiteX18" fmla="*/ 204788 w 624446"/>
            <a:gd name="connsiteY18" fmla="*/ 700088 h 700088"/>
            <a:gd name="connsiteX19" fmla="*/ 233363 w 624446"/>
            <a:gd name="connsiteY19" fmla="*/ 690563 h 700088"/>
            <a:gd name="connsiteX20" fmla="*/ 309563 w 624446"/>
            <a:gd name="connsiteY20" fmla="*/ 681038 h 700088"/>
            <a:gd name="connsiteX21" fmla="*/ 328613 w 624446"/>
            <a:gd name="connsiteY21" fmla="*/ 676275 h 700088"/>
            <a:gd name="connsiteX22" fmla="*/ 338138 w 624446"/>
            <a:gd name="connsiteY22" fmla="*/ 661988 h 700088"/>
            <a:gd name="connsiteX23" fmla="*/ 385763 w 624446"/>
            <a:gd name="connsiteY23" fmla="*/ 666750 h 700088"/>
            <a:gd name="connsiteX24" fmla="*/ 409575 w 624446"/>
            <a:gd name="connsiteY24" fmla="*/ 690563 h 700088"/>
            <a:gd name="connsiteX25" fmla="*/ 438150 w 624446"/>
            <a:gd name="connsiteY25" fmla="*/ 700088 h 700088"/>
            <a:gd name="connsiteX26" fmla="*/ 457200 w 624446"/>
            <a:gd name="connsiteY26" fmla="*/ 671513 h 700088"/>
            <a:gd name="connsiteX27" fmla="*/ 476250 w 624446"/>
            <a:gd name="connsiteY27" fmla="*/ 642938 h 700088"/>
            <a:gd name="connsiteX28" fmla="*/ 481013 w 624446"/>
            <a:gd name="connsiteY28" fmla="*/ 623888 h 700088"/>
            <a:gd name="connsiteX29" fmla="*/ 490538 w 624446"/>
            <a:gd name="connsiteY29" fmla="*/ 609600 h 700088"/>
            <a:gd name="connsiteX30" fmla="*/ 495300 w 624446"/>
            <a:gd name="connsiteY30" fmla="*/ 576263 h 700088"/>
            <a:gd name="connsiteX31" fmla="*/ 509588 w 624446"/>
            <a:gd name="connsiteY31" fmla="*/ 571500 h 700088"/>
            <a:gd name="connsiteX32" fmla="*/ 523875 w 624446"/>
            <a:gd name="connsiteY32" fmla="*/ 561975 h 700088"/>
            <a:gd name="connsiteX33" fmla="*/ 528638 w 624446"/>
            <a:gd name="connsiteY33" fmla="*/ 485775 h 700088"/>
            <a:gd name="connsiteX34" fmla="*/ 542925 w 624446"/>
            <a:gd name="connsiteY34" fmla="*/ 471488 h 700088"/>
            <a:gd name="connsiteX35" fmla="*/ 571500 w 624446"/>
            <a:gd name="connsiteY35" fmla="*/ 461963 h 700088"/>
            <a:gd name="connsiteX36" fmla="*/ 595313 w 624446"/>
            <a:gd name="connsiteY36" fmla="*/ 414338 h 700088"/>
            <a:gd name="connsiteX37" fmla="*/ 604838 w 624446"/>
            <a:gd name="connsiteY37" fmla="*/ 385763 h 700088"/>
            <a:gd name="connsiteX38" fmla="*/ 614363 w 624446"/>
            <a:gd name="connsiteY38" fmla="*/ 347663 h 700088"/>
            <a:gd name="connsiteX39" fmla="*/ 623888 w 624446"/>
            <a:gd name="connsiteY39" fmla="*/ 309563 h 700088"/>
            <a:gd name="connsiteX40" fmla="*/ 623888 w 624446"/>
            <a:gd name="connsiteY40" fmla="*/ 219075 h 700088"/>
            <a:gd name="connsiteX41" fmla="*/ 557213 w 624446"/>
            <a:gd name="connsiteY41" fmla="*/ 0 h 700088"/>
            <a:gd name="connsiteX42" fmla="*/ 509588 w 624446"/>
            <a:gd name="connsiteY42" fmla="*/ 47625 h 700088"/>
            <a:gd name="connsiteX43" fmla="*/ 495300 w 624446"/>
            <a:gd name="connsiteY43" fmla="*/ 61913 h 700088"/>
            <a:gd name="connsiteX44" fmla="*/ 466725 w 624446"/>
            <a:gd name="connsiteY44" fmla="*/ 80963 h 700088"/>
            <a:gd name="connsiteX45" fmla="*/ 438150 w 624446"/>
            <a:gd name="connsiteY45" fmla="*/ 100013 h 700088"/>
            <a:gd name="connsiteX46" fmla="*/ 409575 w 624446"/>
            <a:gd name="connsiteY46" fmla="*/ 114300 h 700088"/>
            <a:gd name="connsiteX47" fmla="*/ 381000 w 624446"/>
            <a:gd name="connsiteY47" fmla="*/ 133350 h 700088"/>
            <a:gd name="connsiteX48" fmla="*/ 347663 w 624446"/>
            <a:gd name="connsiteY48" fmla="*/ 142875 h 700088"/>
            <a:gd name="connsiteX49" fmla="*/ 300038 w 624446"/>
            <a:gd name="connsiteY49" fmla="*/ 161925 h 700088"/>
            <a:gd name="connsiteX50" fmla="*/ 271463 w 624446"/>
            <a:gd name="connsiteY50" fmla="*/ 171450 h 700088"/>
            <a:gd name="connsiteX51" fmla="*/ 257175 w 624446"/>
            <a:gd name="connsiteY51" fmla="*/ 176213 h 700088"/>
            <a:gd name="connsiteX52" fmla="*/ 209550 w 624446"/>
            <a:gd name="connsiteY52" fmla="*/ 166688 h 700088"/>
            <a:gd name="connsiteX53" fmla="*/ 195263 w 624446"/>
            <a:gd name="connsiteY53" fmla="*/ 161925 h 700088"/>
            <a:gd name="connsiteX54" fmla="*/ 166688 w 624446"/>
            <a:gd name="connsiteY54" fmla="*/ 147638 h 700088"/>
            <a:gd name="connsiteX55" fmla="*/ 114300 w 624446"/>
            <a:gd name="connsiteY55" fmla="*/ 166688 h 700088"/>
            <a:gd name="connsiteX56" fmla="*/ 100013 w 624446"/>
            <a:gd name="connsiteY56" fmla="*/ 171450 h 700088"/>
            <a:gd name="connsiteX57" fmla="*/ 61913 w 624446"/>
            <a:gd name="connsiteY57" fmla="*/ 180975 h 700088"/>
            <a:gd name="connsiteX58" fmla="*/ 0 w 624446"/>
            <a:gd name="connsiteY58" fmla="*/ 190500 h 7000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624446" h="700088">
              <a:moveTo>
                <a:pt x="0" y="190500"/>
              </a:moveTo>
              <a:lnTo>
                <a:pt x="0" y="190500"/>
              </a:lnTo>
              <a:cubicBezTo>
                <a:pt x="26603" y="261438"/>
                <a:pt x="6165" y="202552"/>
                <a:pt x="19050" y="247650"/>
              </a:cubicBezTo>
              <a:cubicBezTo>
                <a:pt x="20429" y="252477"/>
                <a:pt x="22595" y="257068"/>
                <a:pt x="23813" y="261938"/>
              </a:cubicBezTo>
              <a:lnTo>
                <a:pt x="33338" y="300038"/>
              </a:lnTo>
              <a:cubicBezTo>
                <a:pt x="35464" y="312793"/>
                <a:pt x="39531" y="339098"/>
                <a:pt x="42863" y="352425"/>
              </a:cubicBezTo>
              <a:cubicBezTo>
                <a:pt x="44081" y="357295"/>
                <a:pt x="46246" y="361886"/>
                <a:pt x="47625" y="366713"/>
              </a:cubicBezTo>
              <a:cubicBezTo>
                <a:pt x="49423" y="373007"/>
                <a:pt x="50590" y="379469"/>
                <a:pt x="52388" y="385763"/>
              </a:cubicBezTo>
              <a:cubicBezTo>
                <a:pt x="53767" y="390590"/>
                <a:pt x="56061" y="395150"/>
                <a:pt x="57150" y="400050"/>
              </a:cubicBezTo>
              <a:cubicBezTo>
                <a:pt x="59245" y="409476"/>
                <a:pt x="60325" y="419100"/>
                <a:pt x="61913" y="428625"/>
              </a:cubicBezTo>
              <a:cubicBezTo>
                <a:pt x="63538" y="454626"/>
                <a:pt x="65497" y="511242"/>
                <a:pt x="71438" y="542925"/>
              </a:cubicBezTo>
              <a:cubicBezTo>
                <a:pt x="73851" y="555792"/>
                <a:pt x="77788" y="568325"/>
                <a:pt x="80963" y="581025"/>
              </a:cubicBezTo>
              <a:lnTo>
                <a:pt x="85725" y="600075"/>
              </a:lnTo>
              <a:cubicBezTo>
                <a:pt x="86942" y="604945"/>
                <a:pt x="89109" y="609536"/>
                <a:pt x="90488" y="614363"/>
              </a:cubicBezTo>
              <a:cubicBezTo>
                <a:pt x="92731" y="622214"/>
                <a:pt x="100779" y="659324"/>
                <a:pt x="104775" y="661988"/>
              </a:cubicBezTo>
              <a:cubicBezTo>
                <a:pt x="127098" y="676869"/>
                <a:pt x="113417" y="670572"/>
                <a:pt x="147638" y="676275"/>
              </a:cubicBezTo>
              <a:cubicBezTo>
                <a:pt x="152400" y="677863"/>
                <a:pt x="157435" y="678793"/>
                <a:pt x="161925" y="681038"/>
              </a:cubicBezTo>
              <a:cubicBezTo>
                <a:pt x="167045" y="683598"/>
                <a:pt x="170982" y="688238"/>
                <a:pt x="176213" y="690563"/>
              </a:cubicBezTo>
              <a:cubicBezTo>
                <a:pt x="185388" y="694641"/>
                <a:pt x="204788" y="700088"/>
                <a:pt x="204788" y="700088"/>
              </a:cubicBezTo>
              <a:lnTo>
                <a:pt x="233363" y="690563"/>
              </a:lnTo>
              <a:cubicBezTo>
                <a:pt x="257647" y="682468"/>
                <a:pt x="309563" y="681038"/>
                <a:pt x="309563" y="681038"/>
              </a:cubicBezTo>
              <a:cubicBezTo>
                <a:pt x="315913" y="679450"/>
                <a:pt x="323167" y="679906"/>
                <a:pt x="328613" y="676275"/>
              </a:cubicBezTo>
              <a:cubicBezTo>
                <a:pt x="333375" y="673100"/>
                <a:pt x="332492" y="662929"/>
                <a:pt x="338138" y="661988"/>
              </a:cubicBezTo>
              <a:cubicBezTo>
                <a:pt x="353875" y="659365"/>
                <a:pt x="369888" y="665163"/>
                <a:pt x="385763" y="666750"/>
              </a:cubicBezTo>
              <a:cubicBezTo>
                <a:pt x="394452" y="679784"/>
                <a:pt x="394536" y="683879"/>
                <a:pt x="409575" y="690563"/>
              </a:cubicBezTo>
              <a:cubicBezTo>
                <a:pt x="418750" y="694641"/>
                <a:pt x="438150" y="700088"/>
                <a:pt x="438150" y="700088"/>
              </a:cubicBezTo>
              <a:cubicBezTo>
                <a:pt x="469860" y="668378"/>
                <a:pt x="439969" y="702529"/>
                <a:pt x="457200" y="671513"/>
              </a:cubicBezTo>
              <a:cubicBezTo>
                <a:pt x="462759" y="661506"/>
                <a:pt x="476250" y="642938"/>
                <a:pt x="476250" y="642938"/>
              </a:cubicBezTo>
              <a:cubicBezTo>
                <a:pt x="477838" y="636588"/>
                <a:pt x="478435" y="629904"/>
                <a:pt x="481013" y="623888"/>
              </a:cubicBezTo>
              <a:cubicBezTo>
                <a:pt x="483268" y="618627"/>
                <a:pt x="488893" y="615083"/>
                <a:pt x="490538" y="609600"/>
              </a:cubicBezTo>
              <a:cubicBezTo>
                <a:pt x="493763" y="598848"/>
                <a:pt x="490280" y="586303"/>
                <a:pt x="495300" y="576263"/>
              </a:cubicBezTo>
              <a:cubicBezTo>
                <a:pt x="497545" y="571773"/>
                <a:pt x="505098" y="573745"/>
                <a:pt x="509588" y="571500"/>
              </a:cubicBezTo>
              <a:cubicBezTo>
                <a:pt x="514707" y="568940"/>
                <a:pt x="519113" y="565150"/>
                <a:pt x="523875" y="561975"/>
              </a:cubicBezTo>
              <a:cubicBezTo>
                <a:pt x="525463" y="536575"/>
                <a:pt x="523395" y="510679"/>
                <a:pt x="528638" y="485775"/>
              </a:cubicBezTo>
              <a:cubicBezTo>
                <a:pt x="530025" y="479185"/>
                <a:pt x="537038" y="474759"/>
                <a:pt x="542925" y="471488"/>
              </a:cubicBezTo>
              <a:cubicBezTo>
                <a:pt x="551702" y="466612"/>
                <a:pt x="571500" y="461963"/>
                <a:pt x="571500" y="461963"/>
              </a:cubicBezTo>
              <a:cubicBezTo>
                <a:pt x="598725" y="443813"/>
                <a:pt x="579723" y="461109"/>
                <a:pt x="595313" y="414338"/>
              </a:cubicBezTo>
              <a:cubicBezTo>
                <a:pt x="598488" y="404813"/>
                <a:pt x="602403" y="395503"/>
                <a:pt x="604838" y="385763"/>
              </a:cubicBezTo>
              <a:cubicBezTo>
                <a:pt x="608013" y="373063"/>
                <a:pt x="610224" y="360082"/>
                <a:pt x="614363" y="347663"/>
              </a:cubicBezTo>
              <a:cubicBezTo>
                <a:pt x="618459" y="335373"/>
                <a:pt x="623341" y="322694"/>
                <a:pt x="623888" y="309563"/>
              </a:cubicBezTo>
              <a:cubicBezTo>
                <a:pt x="625144" y="279426"/>
                <a:pt x="623888" y="249238"/>
                <a:pt x="623888" y="219075"/>
              </a:cubicBezTo>
              <a:lnTo>
                <a:pt x="557213" y="0"/>
              </a:lnTo>
              <a:lnTo>
                <a:pt x="509588" y="47625"/>
              </a:lnTo>
              <a:cubicBezTo>
                <a:pt x="504825" y="52388"/>
                <a:pt x="500904" y="58177"/>
                <a:pt x="495300" y="61913"/>
              </a:cubicBezTo>
              <a:cubicBezTo>
                <a:pt x="485775" y="68263"/>
                <a:pt x="474820" y="72868"/>
                <a:pt x="466725" y="80963"/>
              </a:cubicBezTo>
              <a:cubicBezTo>
                <a:pt x="439642" y="108046"/>
                <a:pt x="465720" y="86228"/>
                <a:pt x="438150" y="100013"/>
              </a:cubicBezTo>
              <a:cubicBezTo>
                <a:pt x="401228" y="118474"/>
                <a:pt x="445482" y="102333"/>
                <a:pt x="409575" y="114300"/>
              </a:cubicBezTo>
              <a:cubicBezTo>
                <a:pt x="400050" y="120650"/>
                <a:pt x="392106" y="130573"/>
                <a:pt x="381000" y="133350"/>
              </a:cubicBezTo>
              <a:cubicBezTo>
                <a:pt x="371339" y="135766"/>
                <a:pt x="357224" y="138777"/>
                <a:pt x="347663" y="142875"/>
              </a:cubicBezTo>
              <a:cubicBezTo>
                <a:pt x="298602" y="163901"/>
                <a:pt x="365090" y="140240"/>
                <a:pt x="300038" y="161925"/>
              </a:cubicBezTo>
              <a:lnTo>
                <a:pt x="271463" y="171450"/>
              </a:lnTo>
              <a:lnTo>
                <a:pt x="257175" y="176213"/>
              </a:lnTo>
              <a:cubicBezTo>
                <a:pt x="241300" y="173038"/>
                <a:pt x="224908" y="171808"/>
                <a:pt x="209550" y="166688"/>
              </a:cubicBezTo>
              <a:cubicBezTo>
                <a:pt x="204788" y="165100"/>
                <a:pt x="199753" y="164170"/>
                <a:pt x="195263" y="161925"/>
              </a:cubicBezTo>
              <a:cubicBezTo>
                <a:pt x="158342" y="143464"/>
                <a:pt x="202591" y="159605"/>
                <a:pt x="166688" y="147638"/>
              </a:cubicBezTo>
              <a:cubicBezTo>
                <a:pt x="84641" y="168150"/>
                <a:pt x="156268" y="145705"/>
                <a:pt x="114300" y="166688"/>
              </a:cubicBezTo>
              <a:cubicBezTo>
                <a:pt x="109810" y="168933"/>
                <a:pt x="104856" y="170129"/>
                <a:pt x="100013" y="171450"/>
              </a:cubicBezTo>
              <a:cubicBezTo>
                <a:pt x="87383" y="174894"/>
                <a:pt x="74613" y="177800"/>
                <a:pt x="61913" y="180975"/>
              </a:cubicBezTo>
              <a:cubicBezTo>
                <a:pt x="17789" y="192006"/>
                <a:pt x="10319" y="188912"/>
                <a:pt x="0" y="19050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413310</xdr:colOff>
      <xdr:row>98</xdr:row>
      <xdr:rowOff>66115</xdr:rowOff>
    </xdr:from>
    <xdr:to>
      <xdr:col>10</xdr:col>
      <xdr:colOff>301388</xdr:colOff>
      <xdr:row>103</xdr:row>
      <xdr:rowOff>124759</xdr:rowOff>
    </xdr:to>
    <xdr:sp macro="" textlink="">
      <xdr:nvSpPr>
        <xdr:cNvPr id="43" name="Mississippi"/>
        <xdr:cNvSpPr/>
      </xdr:nvSpPr>
      <xdr:spPr>
        <a:xfrm>
          <a:off x="5404410" y="16385615"/>
          <a:ext cx="497678" cy="884144"/>
        </a:xfrm>
        <a:custGeom>
          <a:avLst/>
          <a:gdLst>
            <a:gd name="connsiteX0" fmla="*/ 154497 w 502160"/>
            <a:gd name="connsiteY0" fmla="*/ 42863 h 914400"/>
            <a:gd name="connsiteX1" fmla="*/ 154497 w 502160"/>
            <a:gd name="connsiteY1" fmla="*/ 42863 h 914400"/>
            <a:gd name="connsiteX2" fmla="*/ 121160 w 502160"/>
            <a:gd name="connsiteY2" fmla="*/ 71438 h 914400"/>
            <a:gd name="connsiteX3" fmla="*/ 106872 w 502160"/>
            <a:gd name="connsiteY3" fmla="*/ 100013 h 914400"/>
            <a:gd name="connsiteX4" fmla="*/ 97347 w 502160"/>
            <a:gd name="connsiteY4" fmla="*/ 114300 h 914400"/>
            <a:gd name="connsiteX5" fmla="*/ 87822 w 502160"/>
            <a:gd name="connsiteY5" fmla="*/ 142875 h 914400"/>
            <a:gd name="connsiteX6" fmla="*/ 83060 w 502160"/>
            <a:gd name="connsiteY6" fmla="*/ 157163 h 914400"/>
            <a:gd name="connsiteX7" fmla="*/ 73535 w 502160"/>
            <a:gd name="connsiteY7" fmla="*/ 171450 h 914400"/>
            <a:gd name="connsiteX8" fmla="*/ 59247 w 502160"/>
            <a:gd name="connsiteY8" fmla="*/ 200025 h 914400"/>
            <a:gd name="connsiteX9" fmla="*/ 54485 w 502160"/>
            <a:gd name="connsiteY9" fmla="*/ 214313 h 914400"/>
            <a:gd name="connsiteX10" fmla="*/ 44960 w 502160"/>
            <a:gd name="connsiteY10" fmla="*/ 228600 h 914400"/>
            <a:gd name="connsiteX11" fmla="*/ 40197 w 502160"/>
            <a:gd name="connsiteY11" fmla="*/ 261938 h 914400"/>
            <a:gd name="connsiteX12" fmla="*/ 44960 w 502160"/>
            <a:gd name="connsiteY12" fmla="*/ 366713 h 914400"/>
            <a:gd name="connsiteX13" fmla="*/ 54485 w 502160"/>
            <a:gd name="connsiteY13" fmla="*/ 409575 h 914400"/>
            <a:gd name="connsiteX14" fmla="*/ 64010 w 502160"/>
            <a:gd name="connsiteY14" fmla="*/ 495300 h 914400"/>
            <a:gd name="connsiteX15" fmla="*/ 73535 w 502160"/>
            <a:gd name="connsiteY15" fmla="*/ 538163 h 914400"/>
            <a:gd name="connsiteX16" fmla="*/ 64010 w 502160"/>
            <a:gd name="connsiteY16" fmla="*/ 638175 h 914400"/>
            <a:gd name="connsiteX17" fmla="*/ 54485 w 502160"/>
            <a:gd name="connsiteY17" fmla="*/ 666750 h 914400"/>
            <a:gd name="connsiteX18" fmla="*/ 40197 w 502160"/>
            <a:gd name="connsiteY18" fmla="*/ 681038 h 914400"/>
            <a:gd name="connsiteX19" fmla="*/ 25910 w 502160"/>
            <a:gd name="connsiteY19" fmla="*/ 709613 h 914400"/>
            <a:gd name="connsiteX20" fmla="*/ 11622 w 502160"/>
            <a:gd name="connsiteY20" fmla="*/ 738188 h 914400"/>
            <a:gd name="connsiteX21" fmla="*/ 6860 w 502160"/>
            <a:gd name="connsiteY21" fmla="*/ 804863 h 914400"/>
            <a:gd name="connsiteX22" fmla="*/ 35435 w 502160"/>
            <a:gd name="connsiteY22" fmla="*/ 814388 h 914400"/>
            <a:gd name="connsiteX23" fmla="*/ 68772 w 502160"/>
            <a:gd name="connsiteY23" fmla="*/ 809625 h 914400"/>
            <a:gd name="connsiteX24" fmla="*/ 116397 w 502160"/>
            <a:gd name="connsiteY24" fmla="*/ 795338 h 914400"/>
            <a:gd name="connsiteX25" fmla="*/ 144972 w 502160"/>
            <a:gd name="connsiteY25" fmla="*/ 785813 h 914400"/>
            <a:gd name="connsiteX26" fmla="*/ 183072 w 502160"/>
            <a:gd name="connsiteY26" fmla="*/ 776288 h 914400"/>
            <a:gd name="connsiteX27" fmla="*/ 230697 w 502160"/>
            <a:gd name="connsiteY27" fmla="*/ 766763 h 914400"/>
            <a:gd name="connsiteX28" fmla="*/ 287847 w 502160"/>
            <a:gd name="connsiteY28" fmla="*/ 771525 h 914400"/>
            <a:gd name="connsiteX29" fmla="*/ 302135 w 502160"/>
            <a:gd name="connsiteY29" fmla="*/ 814388 h 914400"/>
            <a:gd name="connsiteX30" fmla="*/ 321185 w 502160"/>
            <a:gd name="connsiteY30" fmla="*/ 842963 h 914400"/>
            <a:gd name="connsiteX31" fmla="*/ 330710 w 502160"/>
            <a:gd name="connsiteY31" fmla="*/ 871538 h 914400"/>
            <a:gd name="connsiteX32" fmla="*/ 335472 w 502160"/>
            <a:gd name="connsiteY32" fmla="*/ 904875 h 914400"/>
            <a:gd name="connsiteX33" fmla="*/ 349760 w 502160"/>
            <a:gd name="connsiteY33" fmla="*/ 914400 h 914400"/>
            <a:gd name="connsiteX34" fmla="*/ 406910 w 502160"/>
            <a:gd name="connsiteY34" fmla="*/ 900113 h 914400"/>
            <a:gd name="connsiteX35" fmla="*/ 421197 w 502160"/>
            <a:gd name="connsiteY35" fmla="*/ 895350 h 914400"/>
            <a:gd name="connsiteX36" fmla="*/ 459297 w 502160"/>
            <a:gd name="connsiteY36" fmla="*/ 862013 h 914400"/>
            <a:gd name="connsiteX37" fmla="*/ 487872 w 502160"/>
            <a:gd name="connsiteY37" fmla="*/ 852488 h 914400"/>
            <a:gd name="connsiteX38" fmla="*/ 502160 w 502160"/>
            <a:gd name="connsiteY38" fmla="*/ 847725 h 914400"/>
            <a:gd name="connsiteX39" fmla="*/ 497397 w 502160"/>
            <a:gd name="connsiteY39" fmla="*/ 728663 h 914400"/>
            <a:gd name="connsiteX40" fmla="*/ 487872 w 502160"/>
            <a:gd name="connsiteY40" fmla="*/ 690563 h 914400"/>
            <a:gd name="connsiteX41" fmla="*/ 483110 w 502160"/>
            <a:gd name="connsiteY41" fmla="*/ 666750 h 914400"/>
            <a:gd name="connsiteX42" fmla="*/ 473585 w 502160"/>
            <a:gd name="connsiteY42" fmla="*/ 638175 h 914400"/>
            <a:gd name="connsiteX43" fmla="*/ 473585 w 502160"/>
            <a:gd name="connsiteY43" fmla="*/ 600075 h 914400"/>
            <a:gd name="connsiteX44" fmla="*/ 464060 w 502160"/>
            <a:gd name="connsiteY44" fmla="*/ 28575 h 914400"/>
            <a:gd name="connsiteX45" fmla="*/ 449772 w 502160"/>
            <a:gd name="connsiteY45" fmla="*/ 0 h 914400"/>
            <a:gd name="connsiteX46" fmla="*/ 154497 w 502160"/>
            <a:gd name="connsiteY46" fmla="*/ 42863 h 914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Lst>
          <a:rect l="l" t="t" r="r" b="b"/>
          <a:pathLst>
            <a:path w="502160" h="914400">
              <a:moveTo>
                <a:pt x="154497" y="42863"/>
              </a:moveTo>
              <a:lnTo>
                <a:pt x="154497" y="42863"/>
              </a:lnTo>
              <a:cubicBezTo>
                <a:pt x="143385" y="52388"/>
                <a:pt x="131509" y="61089"/>
                <a:pt x="121160" y="71438"/>
              </a:cubicBezTo>
              <a:cubicBezTo>
                <a:pt x="107511" y="85087"/>
                <a:pt x="114619" y="84519"/>
                <a:pt x="106872" y="100013"/>
              </a:cubicBezTo>
              <a:cubicBezTo>
                <a:pt x="104312" y="105132"/>
                <a:pt x="100522" y="109538"/>
                <a:pt x="97347" y="114300"/>
              </a:cubicBezTo>
              <a:lnTo>
                <a:pt x="87822" y="142875"/>
              </a:lnTo>
              <a:cubicBezTo>
                <a:pt x="86235" y="147638"/>
                <a:pt x="85845" y="152986"/>
                <a:pt x="83060" y="157163"/>
              </a:cubicBezTo>
              <a:cubicBezTo>
                <a:pt x="79885" y="161925"/>
                <a:pt x="76095" y="166331"/>
                <a:pt x="73535" y="171450"/>
              </a:cubicBezTo>
              <a:cubicBezTo>
                <a:pt x="53817" y="210884"/>
                <a:pt x="86543" y="159082"/>
                <a:pt x="59247" y="200025"/>
              </a:cubicBezTo>
              <a:cubicBezTo>
                <a:pt x="57660" y="204788"/>
                <a:pt x="56730" y="209823"/>
                <a:pt x="54485" y="214313"/>
              </a:cubicBezTo>
              <a:cubicBezTo>
                <a:pt x="51925" y="219432"/>
                <a:pt x="46605" y="223118"/>
                <a:pt x="44960" y="228600"/>
              </a:cubicBezTo>
              <a:cubicBezTo>
                <a:pt x="41734" y="239352"/>
                <a:pt x="41785" y="250825"/>
                <a:pt x="40197" y="261938"/>
              </a:cubicBezTo>
              <a:cubicBezTo>
                <a:pt x="41785" y="296863"/>
                <a:pt x="42377" y="331847"/>
                <a:pt x="44960" y="366713"/>
              </a:cubicBezTo>
              <a:cubicBezTo>
                <a:pt x="45597" y="375311"/>
                <a:pt x="52132" y="400165"/>
                <a:pt x="54485" y="409575"/>
              </a:cubicBezTo>
              <a:cubicBezTo>
                <a:pt x="63560" y="536639"/>
                <a:pt x="52712" y="438812"/>
                <a:pt x="64010" y="495300"/>
              </a:cubicBezTo>
              <a:cubicBezTo>
                <a:pt x="72392" y="537212"/>
                <a:pt x="64265" y="510355"/>
                <a:pt x="73535" y="538163"/>
              </a:cubicBezTo>
              <a:cubicBezTo>
                <a:pt x="71583" y="569388"/>
                <a:pt x="72708" y="606282"/>
                <a:pt x="64010" y="638175"/>
              </a:cubicBezTo>
              <a:cubicBezTo>
                <a:pt x="61368" y="647861"/>
                <a:pt x="61585" y="659650"/>
                <a:pt x="54485" y="666750"/>
              </a:cubicBezTo>
              <a:lnTo>
                <a:pt x="40197" y="681038"/>
              </a:lnTo>
              <a:cubicBezTo>
                <a:pt x="28230" y="716941"/>
                <a:pt x="44371" y="672692"/>
                <a:pt x="25910" y="709613"/>
              </a:cubicBezTo>
              <a:cubicBezTo>
                <a:pt x="6191" y="749049"/>
                <a:pt x="38920" y="697239"/>
                <a:pt x="11622" y="738188"/>
              </a:cubicBezTo>
              <a:cubicBezTo>
                <a:pt x="5043" y="757925"/>
                <a:pt x="-8063" y="783544"/>
                <a:pt x="6860" y="804863"/>
              </a:cubicBezTo>
              <a:cubicBezTo>
                <a:pt x="12618" y="813088"/>
                <a:pt x="35435" y="814388"/>
                <a:pt x="35435" y="814388"/>
              </a:cubicBezTo>
              <a:cubicBezTo>
                <a:pt x="46547" y="812800"/>
                <a:pt x="57728" y="811633"/>
                <a:pt x="68772" y="809625"/>
              </a:cubicBezTo>
              <a:cubicBezTo>
                <a:pt x="84612" y="806745"/>
                <a:pt x="101478" y="800311"/>
                <a:pt x="116397" y="795338"/>
              </a:cubicBezTo>
              <a:lnTo>
                <a:pt x="144972" y="785813"/>
              </a:lnTo>
              <a:cubicBezTo>
                <a:pt x="157391" y="781673"/>
                <a:pt x="170372" y="779463"/>
                <a:pt x="183072" y="776288"/>
              </a:cubicBezTo>
              <a:cubicBezTo>
                <a:pt x="198778" y="772361"/>
                <a:pt x="230697" y="766763"/>
                <a:pt x="230697" y="766763"/>
              </a:cubicBezTo>
              <a:cubicBezTo>
                <a:pt x="249747" y="768350"/>
                <a:pt x="270749" y="762976"/>
                <a:pt x="287847" y="771525"/>
              </a:cubicBezTo>
              <a:cubicBezTo>
                <a:pt x="294988" y="775096"/>
                <a:pt x="296182" y="805459"/>
                <a:pt x="302135" y="814388"/>
              </a:cubicBezTo>
              <a:lnTo>
                <a:pt x="321185" y="842963"/>
              </a:lnTo>
              <a:cubicBezTo>
                <a:pt x="324360" y="852488"/>
                <a:pt x="329290" y="861599"/>
                <a:pt x="330710" y="871538"/>
              </a:cubicBezTo>
              <a:cubicBezTo>
                <a:pt x="332297" y="882650"/>
                <a:pt x="330913" y="894617"/>
                <a:pt x="335472" y="904875"/>
              </a:cubicBezTo>
              <a:cubicBezTo>
                <a:pt x="337797" y="910106"/>
                <a:pt x="344997" y="911225"/>
                <a:pt x="349760" y="914400"/>
              </a:cubicBezTo>
              <a:cubicBezTo>
                <a:pt x="388235" y="907988"/>
                <a:pt x="369178" y="912691"/>
                <a:pt x="406910" y="900113"/>
              </a:cubicBezTo>
              <a:lnTo>
                <a:pt x="421197" y="895350"/>
              </a:lnTo>
              <a:cubicBezTo>
                <a:pt x="437072" y="871538"/>
                <a:pt x="425960" y="884238"/>
                <a:pt x="459297" y="862013"/>
              </a:cubicBezTo>
              <a:cubicBezTo>
                <a:pt x="467651" y="856444"/>
                <a:pt x="478347" y="855663"/>
                <a:pt x="487872" y="852488"/>
              </a:cubicBezTo>
              <a:lnTo>
                <a:pt x="502160" y="847725"/>
              </a:lnTo>
              <a:cubicBezTo>
                <a:pt x="500572" y="808038"/>
                <a:pt x="500039" y="768294"/>
                <a:pt x="497397" y="728663"/>
              </a:cubicBezTo>
              <a:cubicBezTo>
                <a:pt x="495800" y="704713"/>
                <a:pt x="492622" y="709562"/>
                <a:pt x="487872" y="690563"/>
              </a:cubicBezTo>
              <a:cubicBezTo>
                <a:pt x="485909" y="682710"/>
                <a:pt x="485240" y="674560"/>
                <a:pt x="483110" y="666750"/>
              </a:cubicBezTo>
              <a:cubicBezTo>
                <a:pt x="480468" y="657064"/>
                <a:pt x="473585" y="648215"/>
                <a:pt x="473585" y="638175"/>
              </a:cubicBezTo>
              <a:lnTo>
                <a:pt x="473585" y="600075"/>
              </a:lnTo>
              <a:lnTo>
                <a:pt x="464060" y="28575"/>
              </a:lnTo>
              <a:lnTo>
                <a:pt x="449772" y="0"/>
              </a:lnTo>
              <a:lnTo>
                <a:pt x="154497" y="4286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249000</xdr:colOff>
      <xdr:row>97</xdr:row>
      <xdr:rowOff>159778</xdr:rowOff>
    </xdr:from>
    <xdr:to>
      <xdr:col>11</xdr:col>
      <xdr:colOff>206954</xdr:colOff>
      <xdr:row>103</xdr:row>
      <xdr:rowOff>67890</xdr:rowOff>
    </xdr:to>
    <xdr:sp macro="" textlink="">
      <xdr:nvSpPr>
        <xdr:cNvPr id="44" name="Alabama"/>
        <xdr:cNvSpPr/>
      </xdr:nvSpPr>
      <xdr:spPr>
        <a:xfrm>
          <a:off x="5849700" y="16314178"/>
          <a:ext cx="567554" cy="898712"/>
        </a:xfrm>
        <a:custGeom>
          <a:avLst/>
          <a:gdLst>
            <a:gd name="connsiteX0" fmla="*/ 0 w 572036"/>
            <a:gd name="connsiteY0" fmla="*/ 66675 h 923925"/>
            <a:gd name="connsiteX1" fmla="*/ 23813 w 572036"/>
            <a:gd name="connsiteY1" fmla="*/ 714375 h 923925"/>
            <a:gd name="connsiteX2" fmla="*/ 71438 w 572036"/>
            <a:gd name="connsiteY2" fmla="*/ 923925 h 923925"/>
            <a:gd name="connsiteX3" fmla="*/ 109538 w 572036"/>
            <a:gd name="connsiteY3" fmla="*/ 885825 h 923925"/>
            <a:gd name="connsiteX4" fmla="*/ 123825 w 572036"/>
            <a:gd name="connsiteY4" fmla="*/ 890587 h 923925"/>
            <a:gd name="connsiteX5" fmla="*/ 128588 w 572036"/>
            <a:gd name="connsiteY5" fmla="*/ 904875 h 923925"/>
            <a:gd name="connsiteX6" fmla="*/ 142875 w 572036"/>
            <a:gd name="connsiteY6" fmla="*/ 909637 h 923925"/>
            <a:gd name="connsiteX7" fmla="*/ 161925 w 572036"/>
            <a:gd name="connsiteY7" fmla="*/ 904875 h 923925"/>
            <a:gd name="connsiteX8" fmla="*/ 195263 w 572036"/>
            <a:gd name="connsiteY8" fmla="*/ 900112 h 923925"/>
            <a:gd name="connsiteX9" fmla="*/ 209550 w 572036"/>
            <a:gd name="connsiteY9" fmla="*/ 895350 h 923925"/>
            <a:gd name="connsiteX10" fmla="*/ 190500 w 572036"/>
            <a:gd name="connsiteY10" fmla="*/ 776287 h 923925"/>
            <a:gd name="connsiteX11" fmla="*/ 557213 w 572036"/>
            <a:gd name="connsiteY11" fmla="*/ 709612 h 923925"/>
            <a:gd name="connsiteX12" fmla="*/ 552450 w 572036"/>
            <a:gd name="connsiteY12" fmla="*/ 609600 h 923925"/>
            <a:gd name="connsiteX13" fmla="*/ 542925 w 572036"/>
            <a:gd name="connsiteY13" fmla="*/ 547687 h 923925"/>
            <a:gd name="connsiteX14" fmla="*/ 538163 w 572036"/>
            <a:gd name="connsiteY14" fmla="*/ 514350 h 923925"/>
            <a:gd name="connsiteX15" fmla="*/ 542925 w 572036"/>
            <a:gd name="connsiteY15" fmla="*/ 485775 h 923925"/>
            <a:gd name="connsiteX16" fmla="*/ 566738 w 572036"/>
            <a:gd name="connsiteY16" fmla="*/ 457200 h 923925"/>
            <a:gd name="connsiteX17" fmla="*/ 571500 w 572036"/>
            <a:gd name="connsiteY17" fmla="*/ 442912 h 923925"/>
            <a:gd name="connsiteX18" fmla="*/ 557213 w 572036"/>
            <a:gd name="connsiteY18" fmla="*/ 438150 h 923925"/>
            <a:gd name="connsiteX19" fmla="*/ 533400 w 572036"/>
            <a:gd name="connsiteY19" fmla="*/ 409575 h 923925"/>
            <a:gd name="connsiteX20" fmla="*/ 523875 w 572036"/>
            <a:gd name="connsiteY20" fmla="*/ 381000 h 923925"/>
            <a:gd name="connsiteX21" fmla="*/ 514350 w 572036"/>
            <a:gd name="connsiteY21" fmla="*/ 328612 h 923925"/>
            <a:gd name="connsiteX22" fmla="*/ 504825 w 572036"/>
            <a:gd name="connsiteY22" fmla="*/ 266700 h 923925"/>
            <a:gd name="connsiteX23" fmla="*/ 495300 w 572036"/>
            <a:gd name="connsiteY23" fmla="*/ 233362 h 923925"/>
            <a:gd name="connsiteX24" fmla="*/ 485775 w 572036"/>
            <a:gd name="connsiteY24" fmla="*/ 214312 h 923925"/>
            <a:gd name="connsiteX25" fmla="*/ 481013 w 572036"/>
            <a:gd name="connsiteY25" fmla="*/ 190500 h 923925"/>
            <a:gd name="connsiteX26" fmla="*/ 476250 w 572036"/>
            <a:gd name="connsiteY26" fmla="*/ 161925 h 923925"/>
            <a:gd name="connsiteX27" fmla="*/ 452438 w 572036"/>
            <a:gd name="connsiteY27" fmla="*/ 133350 h 923925"/>
            <a:gd name="connsiteX28" fmla="*/ 433388 w 572036"/>
            <a:gd name="connsiteY28" fmla="*/ 104775 h 923925"/>
            <a:gd name="connsiteX29" fmla="*/ 423863 w 572036"/>
            <a:gd name="connsiteY29" fmla="*/ 76200 h 923925"/>
            <a:gd name="connsiteX30" fmla="*/ 409575 w 572036"/>
            <a:gd name="connsiteY30" fmla="*/ 47625 h 923925"/>
            <a:gd name="connsiteX31" fmla="*/ 400050 w 572036"/>
            <a:gd name="connsiteY31" fmla="*/ 14287 h 923925"/>
            <a:gd name="connsiteX32" fmla="*/ 395288 w 572036"/>
            <a:gd name="connsiteY32" fmla="*/ 0 h 923925"/>
            <a:gd name="connsiteX33" fmla="*/ 123825 w 572036"/>
            <a:gd name="connsiteY33" fmla="*/ 52387 h 923925"/>
            <a:gd name="connsiteX34" fmla="*/ 57150 w 572036"/>
            <a:gd name="connsiteY34" fmla="*/ 42862 h 923925"/>
            <a:gd name="connsiteX35" fmla="*/ 28575 w 572036"/>
            <a:gd name="connsiteY35" fmla="*/ 52387 h 923925"/>
            <a:gd name="connsiteX36" fmla="*/ 0 w 572036"/>
            <a:gd name="connsiteY36" fmla="*/ 66675 h 9239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572036" h="923925">
              <a:moveTo>
                <a:pt x="0" y="66675"/>
              </a:moveTo>
              <a:lnTo>
                <a:pt x="23813" y="714375"/>
              </a:lnTo>
              <a:lnTo>
                <a:pt x="71438" y="923925"/>
              </a:lnTo>
              <a:cubicBezTo>
                <a:pt x="80526" y="911201"/>
                <a:pt x="88780" y="885825"/>
                <a:pt x="109538" y="885825"/>
              </a:cubicBezTo>
              <a:cubicBezTo>
                <a:pt x="114558" y="885825"/>
                <a:pt x="119063" y="889000"/>
                <a:pt x="123825" y="890587"/>
              </a:cubicBezTo>
              <a:cubicBezTo>
                <a:pt x="125413" y="895350"/>
                <a:pt x="125038" y="901325"/>
                <a:pt x="128588" y="904875"/>
              </a:cubicBezTo>
              <a:cubicBezTo>
                <a:pt x="132138" y="908425"/>
                <a:pt x="137855" y="909637"/>
                <a:pt x="142875" y="909637"/>
              </a:cubicBezTo>
              <a:cubicBezTo>
                <a:pt x="149420" y="909637"/>
                <a:pt x="155485" y="906046"/>
                <a:pt x="161925" y="904875"/>
              </a:cubicBezTo>
              <a:cubicBezTo>
                <a:pt x="172969" y="902867"/>
                <a:pt x="184150" y="901700"/>
                <a:pt x="195263" y="900112"/>
              </a:cubicBezTo>
              <a:lnTo>
                <a:pt x="209550" y="895350"/>
              </a:lnTo>
              <a:lnTo>
                <a:pt x="190500" y="776287"/>
              </a:lnTo>
              <a:lnTo>
                <a:pt x="557213" y="709612"/>
              </a:lnTo>
              <a:cubicBezTo>
                <a:pt x="555625" y="676275"/>
                <a:pt x="554670" y="642901"/>
                <a:pt x="552450" y="609600"/>
              </a:cubicBezTo>
              <a:cubicBezTo>
                <a:pt x="547567" y="536356"/>
                <a:pt x="550901" y="591554"/>
                <a:pt x="542925" y="547687"/>
              </a:cubicBezTo>
              <a:cubicBezTo>
                <a:pt x="540917" y="536643"/>
                <a:pt x="539750" y="525462"/>
                <a:pt x="538163" y="514350"/>
              </a:cubicBezTo>
              <a:cubicBezTo>
                <a:pt x="539750" y="504825"/>
                <a:pt x="539872" y="494936"/>
                <a:pt x="542925" y="485775"/>
              </a:cubicBezTo>
              <a:cubicBezTo>
                <a:pt x="546241" y="475827"/>
                <a:pt x="560105" y="463833"/>
                <a:pt x="566738" y="457200"/>
              </a:cubicBezTo>
              <a:cubicBezTo>
                <a:pt x="568325" y="452437"/>
                <a:pt x="573745" y="447402"/>
                <a:pt x="571500" y="442912"/>
              </a:cubicBezTo>
              <a:cubicBezTo>
                <a:pt x="569255" y="438422"/>
                <a:pt x="561390" y="440935"/>
                <a:pt x="557213" y="438150"/>
              </a:cubicBezTo>
              <a:cubicBezTo>
                <a:pt x="546212" y="430816"/>
                <a:pt x="540428" y="420117"/>
                <a:pt x="533400" y="409575"/>
              </a:cubicBezTo>
              <a:cubicBezTo>
                <a:pt x="530225" y="400050"/>
                <a:pt x="525295" y="390939"/>
                <a:pt x="523875" y="381000"/>
              </a:cubicBezTo>
              <a:cubicBezTo>
                <a:pt x="518187" y="341182"/>
                <a:pt x="521836" y="358552"/>
                <a:pt x="514350" y="328612"/>
              </a:cubicBezTo>
              <a:cubicBezTo>
                <a:pt x="510225" y="295606"/>
                <a:pt x="511061" y="294761"/>
                <a:pt x="504825" y="266700"/>
              </a:cubicBezTo>
              <a:cubicBezTo>
                <a:pt x="502965" y="258328"/>
                <a:pt x="498974" y="241934"/>
                <a:pt x="495300" y="233362"/>
              </a:cubicBezTo>
              <a:cubicBezTo>
                <a:pt x="492503" y="226837"/>
                <a:pt x="488950" y="220662"/>
                <a:pt x="485775" y="214312"/>
              </a:cubicBezTo>
              <a:cubicBezTo>
                <a:pt x="484188" y="206375"/>
                <a:pt x="482461" y="198464"/>
                <a:pt x="481013" y="190500"/>
              </a:cubicBezTo>
              <a:cubicBezTo>
                <a:pt x="479286" y="180999"/>
                <a:pt x="479304" y="171086"/>
                <a:pt x="476250" y="161925"/>
              </a:cubicBezTo>
              <a:cubicBezTo>
                <a:pt x="471995" y="149160"/>
                <a:pt x="460176" y="143299"/>
                <a:pt x="452438" y="133350"/>
              </a:cubicBezTo>
              <a:cubicBezTo>
                <a:pt x="445410" y="124314"/>
                <a:pt x="439738" y="114300"/>
                <a:pt x="433388" y="104775"/>
              </a:cubicBezTo>
              <a:cubicBezTo>
                <a:pt x="427819" y="96421"/>
                <a:pt x="427038" y="85725"/>
                <a:pt x="423863" y="76200"/>
              </a:cubicBezTo>
              <a:cubicBezTo>
                <a:pt x="417291" y="56483"/>
                <a:pt x="421884" y="66088"/>
                <a:pt x="409575" y="47625"/>
              </a:cubicBezTo>
              <a:cubicBezTo>
                <a:pt x="398155" y="13361"/>
                <a:pt x="412013" y="56156"/>
                <a:pt x="400050" y="14287"/>
              </a:cubicBezTo>
              <a:cubicBezTo>
                <a:pt x="398671" y="9460"/>
                <a:pt x="395288" y="0"/>
                <a:pt x="395288" y="0"/>
              </a:cubicBezTo>
              <a:lnTo>
                <a:pt x="123825" y="52387"/>
              </a:lnTo>
              <a:cubicBezTo>
                <a:pt x="84542" y="37656"/>
                <a:pt x="93509" y="33772"/>
                <a:pt x="57150" y="42862"/>
              </a:cubicBezTo>
              <a:cubicBezTo>
                <a:pt x="47410" y="45297"/>
                <a:pt x="28575" y="52387"/>
                <a:pt x="28575" y="52387"/>
              </a:cubicBezTo>
              <a:cubicBezTo>
                <a:pt x="12967" y="62793"/>
                <a:pt x="20012" y="61912"/>
                <a:pt x="0" y="6667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44213</xdr:colOff>
      <xdr:row>97</xdr:row>
      <xdr:rowOff>68725</xdr:rowOff>
    </xdr:from>
    <xdr:to>
      <xdr:col>12</xdr:col>
      <xdr:colOff>182885</xdr:colOff>
      <xdr:row>102</xdr:row>
      <xdr:rowOff>61819</xdr:rowOff>
    </xdr:to>
    <xdr:sp macro="" textlink="">
      <xdr:nvSpPr>
        <xdr:cNvPr id="45" name="Georgia"/>
        <xdr:cNvSpPr/>
      </xdr:nvSpPr>
      <xdr:spPr>
        <a:xfrm>
          <a:off x="6254513" y="16223125"/>
          <a:ext cx="748272" cy="818594"/>
        </a:xfrm>
        <a:custGeom>
          <a:avLst/>
          <a:gdLst>
            <a:gd name="connsiteX0" fmla="*/ 0 w 757237"/>
            <a:gd name="connsiteY0" fmla="*/ 86570 h 843807"/>
            <a:gd name="connsiteX1" fmla="*/ 0 w 757237"/>
            <a:gd name="connsiteY1" fmla="*/ 86570 h 843807"/>
            <a:gd name="connsiteX2" fmla="*/ 14287 w 757237"/>
            <a:gd name="connsiteY2" fmla="*/ 124670 h 843807"/>
            <a:gd name="connsiteX3" fmla="*/ 19050 w 757237"/>
            <a:gd name="connsiteY3" fmla="*/ 138957 h 843807"/>
            <a:gd name="connsiteX4" fmla="*/ 28575 w 757237"/>
            <a:gd name="connsiteY4" fmla="*/ 153245 h 843807"/>
            <a:gd name="connsiteX5" fmla="*/ 42862 w 757237"/>
            <a:gd name="connsiteY5" fmla="*/ 200870 h 843807"/>
            <a:gd name="connsiteX6" fmla="*/ 52387 w 757237"/>
            <a:gd name="connsiteY6" fmla="*/ 215157 h 843807"/>
            <a:gd name="connsiteX7" fmla="*/ 61912 w 757237"/>
            <a:gd name="connsiteY7" fmla="*/ 243732 h 843807"/>
            <a:gd name="connsiteX8" fmla="*/ 66675 w 757237"/>
            <a:gd name="connsiteY8" fmla="*/ 258020 h 843807"/>
            <a:gd name="connsiteX9" fmla="*/ 76200 w 757237"/>
            <a:gd name="connsiteY9" fmla="*/ 272307 h 843807"/>
            <a:gd name="connsiteX10" fmla="*/ 80962 w 757237"/>
            <a:gd name="connsiteY10" fmla="*/ 300882 h 843807"/>
            <a:gd name="connsiteX11" fmla="*/ 85725 w 757237"/>
            <a:gd name="connsiteY11" fmla="*/ 315170 h 843807"/>
            <a:gd name="connsiteX12" fmla="*/ 95250 w 757237"/>
            <a:gd name="connsiteY12" fmla="*/ 353270 h 843807"/>
            <a:gd name="connsiteX13" fmla="*/ 104775 w 757237"/>
            <a:gd name="connsiteY13" fmla="*/ 381845 h 843807"/>
            <a:gd name="connsiteX14" fmla="*/ 114300 w 757237"/>
            <a:gd name="connsiteY14" fmla="*/ 415182 h 843807"/>
            <a:gd name="connsiteX15" fmla="*/ 119062 w 757237"/>
            <a:gd name="connsiteY15" fmla="*/ 443757 h 843807"/>
            <a:gd name="connsiteX16" fmla="*/ 128587 w 757237"/>
            <a:gd name="connsiteY16" fmla="*/ 505670 h 843807"/>
            <a:gd name="connsiteX17" fmla="*/ 152400 w 757237"/>
            <a:gd name="connsiteY17" fmla="*/ 534245 h 843807"/>
            <a:gd name="connsiteX18" fmla="*/ 166687 w 757237"/>
            <a:gd name="connsiteY18" fmla="*/ 543770 h 843807"/>
            <a:gd name="connsiteX19" fmla="*/ 161925 w 757237"/>
            <a:gd name="connsiteY19" fmla="*/ 562820 h 843807"/>
            <a:gd name="connsiteX20" fmla="*/ 152400 w 757237"/>
            <a:gd name="connsiteY20" fmla="*/ 577107 h 843807"/>
            <a:gd name="connsiteX21" fmla="*/ 147637 w 757237"/>
            <a:gd name="connsiteY21" fmla="*/ 591395 h 843807"/>
            <a:gd name="connsiteX22" fmla="*/ 152400 w 757237"/>
            <a:gd name="connsiteY22" fmla="*/ 805707 h 843807"/>
            <a:gd name="connsiteX23" fmla="*/ 271462 w 757237"/>
            <a:gd name="connsiteY23" fmla="*/ 843807 h 843807"/>
            <a:gd name="connsiteX24" fmla="*/ 600075 w 757237"/>
            <a:gd name="connsiteY24" fmla="*/ 805707 h 843807"/>
            <a:gd name="connsiteX25" fmla="*/ 628650 w 757237"/>
            <a:gd name="connsiteY25" fmla="*/ 824757 h 843807"/>
            <a:gd name="connsiteX26" fmla="*/ 652462 w 757237"/>
            <a:gd name="connsiteY26" fmla="*/ 739032 h 843807"/>
            <a:gd name="connsiteX27" fmla="*/ 742950 w 757237"/>
            <a:gd name="connsiteY27" fmla="*/ 739032 h 843807"/>
            <a:gd name="connsiteX28" fmla="*/ 738187 w 757237"/>
            <a:gd name="connsiteY28" fmla="*/ 677120 h 843807"/>
            <a:gd name="connsiteX29" fmla="*/ 728662 w 757237"/>
            <a:gd name="connsiteY29" fmla="*/ 648545 h 843807"/>
            <a:gd name="connsiteX30" fmla="*/ 738187 w 757237"/>
            <a:gd name="connsiteY30" fmla="*/ 581870 h 843807"/>
            <a:gd name="connsiteX31" fmla="*/ 742950 w 757237"/>
            <a:gd name="connsiteY31" fmla="*/ 553295 h 843807"/>
            <a:gd name="connsiteX32" fmla="*/ 747712 w 757237"/>
            <a:gd name="connsiteY32" fmla="*/ 539007 h 843807"/>
            <a:gd name="connsiteX33" fmla="*/ 757237 w 757237"/>
            <a:gd name="connsiteY33" fmla="*/ 500907 h 843807"/>
            <a:gd name="connsiteX34" fmla="*/ 752475 w 757237"/>
            <a:gd name="connsiteY34" fmla="*/ 467570 h 843807"/>
            <a:gd name="connsiteX35" fmla="*/ 728662 w 757237"/>
            <a:gd name="connsiteY35" fmla="*/ 438995 h 843807"/>
            <a:gd name="connsiteX36" fmla="*/ 704850 w 757237"/>
            <a:gd name="connsiteY36" fmla="*/ 415182 h 843807"/>
            <a:gd name="connsiteX37" fmla="*/ 676275 w 757237"/>
            <a:gd name="connsiteY37" fmla="*/ 372320 h 843807"/>
            <a:gd name="connsiteX38" fmla="*/ 666750 w 757237"/>
            <a:gd name="connsiteY38" fmla="*/ 358032 h 843807"/>
            <a:gd name="connsiteX39" fmla="*/ 657225 w 757237"/>
            <a:gd name="connsiteY39" fmla="*/ 343745 h 843807"/>
            <a:gd name="connsiteX40" fmla="*/ 652462 w 757237"/>
            <a:gd name="connsiteY40" fmla="*/ 296120 h 843807"/>
            <a:gd name="connsiteX41" fmla="*/ 623887 w 757237"/>
            <a:gd name="connsiteY41" fmla="*/ 281832 h 843807"/>
            <a:gd name="connsiteX42" fmla="*/ 581025 w 757237"/>
            <a:gd name="connsiteY42" fmla="*/ 258020 h 843807"/>
            <a:gd name="connsiteX43" fmla="*/ 561975 w 757237"/>
            <a:gd name="connsiteY43" fmla="*/ 229445 h 843807"/>
            <a:gd name="connsiteX44" fmla="*/ 552450 w 757237"/>
            <a:gd name="connsiteY44" fmla="*/ 215157 h 843807"/>
            <a:gd name="connsiteX45" fmla="*/ 538162 w 757237"/>
            <a:gd name="connsiteY45" fmla="*/ 210395 h 843807"/>
            <a:gd name="connsiteX46" fmla="*/ 481012 w 757237"/>
            <a:gd name="connsiteY46" fmla="*/ 200870 h 843807"/>
            <a:gd name="connsiteX47" fmla="*/ 447675 w 757237"/>
            <a:gd name="connsiteY47" fmla="*/ 191345 h 843807"/>
            <a:gd name="connsiteX48" fmla="*/ 414337 w 757237"/>
            <a:gd name="connsiteY48" fmla="*/ 148482 h 843807"/>
            <a:gd name="connsiteX49" fmla="*/ 404812 w 757237"/>
            <a:gd name="connsiteY49" fmla="*/ 134195 h 843807"/>
            <a:gd name="connsiteX50" fmla="*/ 395287 w 757237"/>
            <a:gd name="connsiteY50" fmla="*/ 119907 h 843807"/>
            <a:gd name="connsiteX51" fmla="*/ 376237 w 757237"/>
            <a:gd name="connsiteY51" fmla="*/ 91332 h 843807"/>
            <a:gd name="connsiteX52" fmla="*/ 366712 w 757237"/>
            <a:gd name="connsiteY52" fmla="*/ 62757 h 843807"/>
            <a:gd name="connsiteX53" fmla="*/ 342900 w 757237"/>
            <a:gd name="connsiteY53" fmla="*/ 34182 h 843807"/>
            <a:gd name="connsiteX54" fmla="*/ 338137 w 757237"/>
            <a:gd name="connsiteY54" fmla="*/ 19895 h 843807"/>
            <a:gd name="connsiteX55" fmla="*/ 333375 w 757237"/>
            <a:gd name="connsiteY55" fmla="*/ 5607 h 843807"/>
            <a:gd name="connsiteX56" fmla="*/ 0 w 757237"/>
            <a:gd name="connsiteY56" fmla="*/ 86570 h 84380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757237" h="843807">
              <a:moveTo>
                <a:pt x="0" y="86570"/>
              </a:moveTo>
              <a:lnTo>
                <a:pt x="0" y="86570"/>
              </a:lnTo>
              <a:cubicBezTo>
                <a:pt x="4762" y="99270"/>
                <a:pt x="9652" y="111923"/>
                <a:pt x="14287" y="124670"/>
              </a:cubicBezTo>
              <a:cubicBezTo>
                <a:pt x="16003" y="129388"/>
                <a:pt x="16805" y="134467"/>
                <a:pt x="19050" y="138957"/>
              </a:cubicBezTo>
              <a:cubicBezTo>
                <a:pt x="21610" y="144077"/>
                <a:pt x="25400" y="148482"/>
                <a:pt x="28575" y="153245"/>
              </a:cubicBezTo>
              <a:cubicBezTo>
                <a:pt x="31237" y="163895"/>
                <a:pt x="38223" y="193912"/>
                <a:pt x="42862" y="200870"/>
              </a:cubicBezTo>
              <a:cubicBezTo>
                <a:pt x="46037" y="205632"/>
                <a:pt x="50062" y="209927"/>
                <a:pt x="52387" y="215157"/>
              </a:cubicBezTo>
              <a:cubicBezTo>
                <a:pt x="56465" y="224332"/>
                <a:pt x="58737" y="234207"/>
                <a:pt x="61912" y="243732"/>
              </a:cubicBezTo>
              <a:lnTo>
                <a:pt x="66675" y="258020"/>
              </a:lnTo>
              <a:cubicBezTo>
                <a:pt x="68485" y="263450"/>
                <a:pt x="73025" y="267545"/>
                <a:pt x="76200" y="272307"/>
              </a:cubicBezTo>
              <a:cubicBezTo>
                <a:pt x="77787" y="281832"/>
                <a:pt x="78867" y="291456"/>
                <a:pt x="80962" y="300882"/>
              </a:cubicBezTo>
              <a:cubicBezTo>
                <a:pt x="82051" y="305783"/>
                <a:pt x="84404" y="310327"/>
                <a:pt x="85725" y="315170"/>
              </a:cubicBezTo>
              <a:cubicBezTo>
                <a:pt x="89170" y="327800"/>
                <a:pt x="92075" y="340570"/>
                <a:pt x="95250" y="353270"/>
              </a:cubicBezTo>
              <a:cubicBezTo>
                <a:pt x="97685" y="363010"/>
                <a:pt x="102340" y="372104"/>
                <a:pt x="104775" y="381845"/>
              </a:cubicBezTo>
              <a:cubicBezTo>
                <a:pt x="110754" y="405765"/>
                <a:pt x="107467" y="394686"/>
                <a:pt x="114300" y="415182"/>
              </a:cubicBezTo>
              <a:cubicBezTo>
                <a:pt x="115887" y="424707"/>
                <a:pt x="117786" y="434185"/>
                <a:pt x="119062" y="443757"/>
              </a:cubicBezTo>
              <a:cubicBezTo>
                <a:pt x="120295" y="453001"/>
                <a:pt x="122275" y="490942"/>
                <a:pt x="128587" y="505670"/>
              </a:cubicBezTo>
              <a:cubicBezTo>
                <a:pt x="132749" y="515382"/>
                <a:pt x="144772" y="527888"/>
                <a:pt x="152400" y="534245"/>
              </a:cubicBezTo>
              <a:cubicBezTo>
                <a:pt x="156797" y="537909"/>
                <a:pt x="161925" y="540595"/>
                <a:pt x="166687" y="543770"/>
              </a:cubicBezTo>
              <a:cubicBezTo>
                <a:pt x="165100" y="550120"/>
                <a:pt x="164503" y="556804"/>
                <a:pt x="161925" y="562820"/>
              </a:cubicBezTo>
              <a:cubicBezTo>
                <a:pt x="159670" y="568081"/>
                <a:pt x="154960" y="571988"/>
                <a:pt x="152400" y="577107"/>
              </a:cubicBezTo>
              <a:cubicBezTo>
                <a:pt x="150155" y="581597"/>
                <a:pt x="149225" y="586632"/>
                <a:pt x="147637" y="591395"/>
              </a:cubicBezTo>
              <a:cubicBezTo>
                <a:pt x="154058" y="732645"/>
                <a:pt x="152400" y="661209"/>
                <a:pt x="152400" y="805707"/>
              </a:cubicBezTo>
              <a:lnTo>
                <a:pt x="271462" y="843807"/>
              </a:lnTo>
              <a:lnTo>
                <a:pt x="600075" y="805707"/>
              </a:lnTo>
              <a:lnTo>
                <a:pt x="628650" y="824757"/>
              </a:lnTo>
              <a:lnTo>
                <a:pt x="652462" y="739032"/>
              </a:lnTo>
              <a:lnTo>
                <a:pt x="742950" y="739032"/>
              </a:lnTo>
              <a:cubicBezTo>
                <a:pt x="741362" y="718395"/>
                <a:pt x="741415" y="697565"/>
                <a:pt x="738187" y="677120"/>
              </a:cubicBezTo>
              <a:cubicBezTo>
                <a:pt x="736621" y="667203"/>
                <a:pt x="728662" y="648545"/>
                <a:pt x="728662" y="648545"/>
              </a:cubicBezTo>
              <a:cubicBezTo>
                <a:pt x="736241" y="580341"/>
                <a:pt x="729524" y="629518"/>
                <a:pt x="738187" y="581870"/>
              </a:cubicBezTo>
              <a:cubicBezTo>
                <a:pt x="739914" y="572369"/>
                <a:pt x="740855" y="562721"/>
                <a:pt x="742950" y="553295"/>
              </a:cubicBezTo>
              <a:cubicBezTo>
                <a:pt x="744039" y="548394"/>
                <a:pt x="746391" y="543850"/>
                <a:pt x="747712" y="539007"/>
              </a:cubicBezTo>
              <a:cubicBezTo>
                <a:pt x="751156" y="526377"/>
                <a:pt x="757237" y="500907"/>
                <a:pt x="757237" y="500907"/>
              </a:cubicBezTo>
              <a:cubicBezTo>
                <a:pt x="755650" y="489795"/>
                <a:pt x="755700" y="478322"/>
                <a:pt x="752475" y="467570"/>
              </a:cubicBezTo>
              <a:cubicBezTo>
                <a:pt x="749149" y="456482"/>
                <a:pt x="735308" y="446970"/>
                <a:pt x="728662" y="438995"/>
              </a:cubicBezTo>
              <a:cubicBezTo>
                <a:pt x="708816" y="415180"/>
                <a:pt x="731045" y="432646"/>
                <a:pt x="704850" y="415182"/>
              </a:cubicBezTo>
              <a:lnTo>
                <a:pt x="676275" y="372320"/>
              </a:lnTo>
              <a:lnTo>
                <a:pt x="666750" y="358032"/>
              </a:lnTo>
              <a:lnTo>
                <a:pt x="657225" y="343745"/>
              </a:lnTo>
              <a:cubicBezTo>
                <a:pt x="655637" y="327870"/>
                <a:pt x="657507" y="311255"/>
                <a:pt x="652462" y="296120"/>
              </a:cubicBezTo>
              <a:cubicBezTo>
                <a:pt x="649579" y="287471"/>
                <a:pt x="629938" y="285194"/>
                <a:pt x="623887" y="281832"/>
              </a:cubicBezTo>
              <a:cubicBezTo>
                <a:pt x="574762" y="254540"/>
                <a:pt x="613352" y="268795"/>
                <a:pt x="581025" y="258020"/>
              </a:cubicBezTo>
              <a:cubicBezTo>
                <a:pt x="572654" y="232910"/>
                <a:pt x="581794" y="253229"/>
                <a:pt x="561975" y="229445"/>
              </a:cubicBezTo>
              <a:cubicBezTo>
                <a:pt x="558311" y="225048"/>
                <a:pt x="556920" y="218733"/>
                <a:pt x="552450" y="215157"/>
              </a:cubicBezTo>
              <a:cubicBezTo>
                <a:pt x="548530" y="212021"/>
                <a:pt x="542989" y="211774"/>
                <a:pt x="538162" y="210395"/>
              </a:cubicBezTo>
              <a:cubicBezTo>
                <a:pt x="513682" y="203401"/>
                <a:pt x="511946" y="204736"/>
                <a:pt x="481012" y="200870"/>
              </a:cubicBezTo>
              <a:cubicBezTo>
                <a:pt x="478475" y="200236"/>
                <a:pt x="451772" y="194076"/>
                <a:pt x="447675" y="191345"/>
              </a:cubicBezTo>
              <a:cubicBezTo>
                <a:pt x="434245" y="182392"/>
                <a:pt x="421907" y="159836"/>
                <a:pt x="414337" y="148482"/>
              </a:cubicBezTo>
              <a:lnTo>
                <a:pt x="404812" y="134195"/>
              </a:lnTo>
              <a:lnTo>
                <a:pt x="395287" y="119907"/>
              </a:lnTo>
              <a:cubicBezTo>
                <a:pt x="379534" y="72645"/>
                <a:pt x="405964" y="144840"/>
                <a:pt x="376237" y="91332"/>
              </a:cubicBezTo>
              <a:cubicBezTo>
                <a:pt x="371361" y="82555"/>
                <a:pt x="372281" y="71111"/>
                <a:pt x="366712" y="62757"/>
              </a:cubicBezTo>
              <a:cubicBezTo>
                <a:pt x="353451" y="42866"/>
                <a:pt x="361234" y="52517"/>
                <a:pt x="342900" y="34182"/>
              </a:cubicBezTo>
              <a:cubicBezTo>
                <a:pt x="341312" y="29420"/>
                <a:pt x="339516" y="24722"/>
                <a:pt x="338137" y="19895"/>
              </a:cubicBezTo>
              <a:cubicBezTo>
                <a:pt x="332990" y="1881"/>
                <a:pt x="333375" y="-6325"/>
                <a:pt x="333375" y="5607"/>
              </a:cubicBezTo>
              <a:lnTo>
                <a:pt x="0" y="8657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373106</xdr:colOff>
      <xdr:row>96</xdr:row>
      <xdr:rowOff>139420</xdr:rowOff>
    </xdr:from>
    <xdr:to>
      <xdr:col>12</xdr:col>
      <xdr:colOff>478160</xdr:colOff>
      <xdr:row>100</xdr:row>
      <xdr:rowOff>12481</xdr:rowOff>
    </xdr:to>
    <xdr:sp macro="" textlink="">
      <xdr:nvSpPr>
        <xdr:cNvPr id="46" name="South_Carolina"/>
        <xdr:cNvSpPr/>
      </xdr:nvSpPr>
      <xdr:spPr>
        <a:xfrm>
          <a:off x="6583406" y="16128720"/>
          <a:ext cx="714654" cy="533461"/>
        </a:xfrm>
        <a:custGeom>
          <a:avLst/>
          <a:gdLst>
            <a:gd name="connsiteX0" fmla="*/ 0 w 719137"/>
            <a:gd name="connsiteY0" fmla="*/ 90487 h 548589"/>
            <a:gd name="connsiteX1" fmla="*/ 0 w 719137"/>
            <a:gd name="connsiteY1" fmla="*/ 90487 h 548589"/>
            <a:gd name="connsiteX2" fmla="*/ 23812 w 719137"/>
            <a:gd name="connsiteY2" fmla="*/ 123825 h 548589"/>
            <a:gd name="connsiteX3" fmla="*/ 38100 w 719137"/>
            <a:gd name="connsiteY3" fmla="*/ 138112 h 548589"/>
            <a:gd name="connsiteX4" fmla="*/ 57150 w 719137"/>
            <a:gd name="connsiteY4" fmla="*/ 166687 h 548589"/>
            <a:gd name="connsiteX5" fmla="*/ 66675 w 719137"/>
            <a:gd name="connsiteY5" fmla="*/ 180975 h 548589"/>
            <a:gd name="connsiteX6" fmla="*/ 71437 w 719137"/>
            <a:gd name="connsiteY6" fmla="*/ 195262 h 548589"/>
            <a:gd name="connsiteX7" fmla="*/ 90487 w 719137"/>
            <a:gd name="connsiteY7" fmla="*/ 242887 h 548589"/>
            <a:gd name="connsiteX8" fmla="*/ 104775 w 719137"/>
            <a:gd name="connsiteY8" fmla="*/ 252412 h 548589"/>
            <a:gd name="connsiteX9" fmla="*/ 123825 w 719137"/>
            <a:gd name="connsiteY9" fmla="*/ 280987 h 548589"/>
            <a:gd name="connsiteX10" fmla="*/ 171450 w 719137"/>
            <a:gd name="connsiteY10" fmla="*/ 295275 h 548589"/>
            <a:gd name="connsiteX11" fmla="*/ 185737 w 719137"/>
            <a:gd name="connsiteY11" fmla="*/ 300037 h 548589"/>
            <a:gd name="connsiteX12" fmla="*/ 219075 w 719137"/>
            <a:gd name="connsiteY12" fmla="*/ 323850 h 548589"/>
            <a:gd name="connsiteX13" fmla="*/ 247650 w 719137"/>
            <a:gd name="connsiteY13" fmla="*/ 342900 h 548589"/>
            <a:gd name="connsiteX14" fmla="*/ 261937 w 719137"/>
            <a:gd name="connsiteY14" fmla="*/ 347662 h 548589"/>
            <a:gd name="connsiteX15" fmla="*/ 304800 w 719137"/>
            <a:gd name="connsiteY15" fmla="*/ 381000 h 548589"/>
            <a:gd name="connsiteX16" fmla="*/ 323850 w 719137"/>
            <a:gd name="connsiteY16" fmla="*/ 409575 h 548589"/>
            <a:gd name="connsiteX17" fmla="*/ 328612 w 719137"/>
            <a:gd name="connsiteY17" fmla="*/ 438150 h 548589"/>
            <a:gd name="connsiteX18" fmla="*/ 333375 w 719137"/>
            <a:gd name="connsiteY18" fmla="*/ 452437 h 548589"/>
            <a:gd name="connsiteX19" fmla="*/ 352425 w 719137"/>
            <a:gd name="connsiteY19" fmla="*/ 466725 h 548589"/>
            <a:gd name="connsiteX20" fmla="*/ 366712 w 719137"/>
            <a:gd name="connsiteY20" fmla="*/ 481012 h 548589"/>
            <a:gd name="connsiteX21" fmla="*/ 385762 w 719137"/>
            <a:gd name="connsiteY21" fmla="*/ 495300 h 548589"/>
            <a:gd name="connsiteX22" fmla="*/ 400050 w 719137"/>
            <a:gd name="connsiteY22" fmla="*/ 509587 h 548589"/>
            <a:gd name="connsiteX23" fmla="*/ 409575 w 719137"/>
            <a:gd name="connsiteY23" fmla="*/ 523875 h 548589"/>
            <a:gd name="connsiteX24" fmla="*/ 428625 w 719137"/>
            <a:gd name="connsiteY24" fmla="*/ 528637 h 548589"/>
            <a:gd name="connsiteX25" fmla="*/ 442912 w 719137"/>
            <a:gd name="connsiteY25" fmla="*/ 533400 h 548589"/>
            <a:gd name="connsiteX26" fmla="*/ 452437 w 719137"/>
            <a:gd name="connsiteY26" fmla="*/ 547687 h 548589"/>
            <a:gd name="connsiteX27" fmla="*/ 457200 w 719137"/>
            <a:gd name="connsiteY27" fmla="*/ 514350 h 548589"/>
            <a:gd name="connsiteX28" fmla="*/ 461962 w 719137"/>
            <a:gd name="connsiteY28" fmla="*/ 500062 h 548589"/>
            <a:gd name="connsiteX29" fmla="*/ 466725 w 719137"/>
            <a:gd name="connsiteY29" fmla="*/ 481012 h 548589"/>
            <a:gd name="connsiteX30" fmla="*/ 485775 w 719137"/>
            <a:gd name="connsiteY30" fmla="*/ 452437 h 548589"/>
            <a:gd name="connsiteX31" fmla="*/ 514350 w 719137"/>
            <a:gd name="connsiteY31" fmla="*/ 438150 h 548589"/>
            <a:gd name="connsiteX32" fmla="*/ 523875 w 719137"/>
            <a:gd name="connsiteY32" fmla="*/ 423862 h 548589"/>
            <a:gd name="connsiteX33" fmla="*/ 552450 w 719137"/>
            <a:gd name="connsiteY33" fmla="*/ 409575 h 548589"/>
            <a:gd name="connsiteX34" fmla="*/ 581025 w 719137"/>
            <a:gd name="connsiteY34" fmla="*/ 366712 h 548589"/>
            <a:gd name="connsiteX35" fmla="*/ 590550 w 719137"/>
            <a:gd name="connsiteY35" fmla="*/ 352425 h 548589"/>
            <a:gd name="connsiteX36" fmla="*/ 600075 w 719137"/>
            <a:gd name="connsiteY36" fmla="*/ 338137 h 548589"/>
            <a:gd name="connsiteX37" fmla="*/ 614362 w 719137"/>
            <a:gd name="connsiteY37" fmla="*/ 323850 h 548589"/>
            <a:gd name="connsiteX38" fmla="*/ 628650 w 719137"/>
            <a:gd name="connsiteY38" fmla="*/ 295275 h 548589"/>
            <a:gd name="connsiteX39" fmla="*/ 647700 w 719137"/>
            <a:gd name="connsiteY39" fmla="*/ 266700 h 548589"/>
            <a:gd name="connsiteX40" fmla="*/ 671512 w 719137"/>
            <a:gd name="connsiteY40" fmla="*/ 223837 h 548589"/>
            <a:gd name="connsiteX41" fmla="*/ 700087 w 719137"/>
            <a:gd name="connsiteY41" fmla="*/ 166687 h 548589"/>
            <a:gd name="connsiteX42" fmla="*/ 704850 w 719137"/>
            <a:gd name="connsiteY42" fmla="*/ 152400 h 548589"/>
            <a:gd name="connsiteX43" fmla="*/ 714375 w 719137"/>
            <a:gd name="connsiteY43" fmla="*/ 138112 h 548589"/>
            <a:gd name="connsiteX44" fmla="*/ 719137 w 719137"/>
            <a:gd name="connsiteY44" fmla="*/ 123825 h 548589"/>
            <a:gd name="connsiteX45" fmla="*/ 533400 w 719137"/>
            <a:gd name="connsiteY45" fmla="*/ 0 h 548589"/>
            <a:gd name="connsiteX46" fmla="*/ 385762 w 719137"/>
            <a:gd name="connsiteY46" fmla="*/ 52387 h 548589"/>
            <a:gd name="connsiteX47" fmla="*/ 338137 w 719137"/>
            <a:gd name="connsiteY47" fmla="*/ 0 h 548589"/>
            <a:gd name="connsiteX48" fmla="*/ 290512 w 719137"/>
            <a:gd name="connsiteY48" fmla="*/ 4762 h 548589"/>
            <a:gd name="connsiteX49" fmla="*/ 223837 w 719137"/>
            <a:gd name="connsiteY49" fmla="*/ 14287 h 548589"/>
            <a:gd name="connsiteX50" fmla="*/ 195262 w 719137"/>
            <a:gd name="connsiteY50" fmla="*/ 23812 h 548589"/>
            <a:gd name="connsiteX51" fmla="*/ 180975 w 719137"/>
            <a:gd name="connsiteY51" fmla="*/ 33337 h 548589"/>
            <a:gd name="connsiteX52" fmla="*/ 152400 w 719137"/>
            <a:gd name="connsiteY52" fmla="*/ 42862 h 548589"/>
            <a:gd name="connsiteX53" fmla="*/ 138112 w 719137"/>
            <a:gd name="connsiteY53" fmla="*/ 52387 h 548589"/>
            <a:gd name="connsiteX54" fmla="*/ 109537 w 719137"/>
            <a:gd name="connsiteY54" fmla="*/ 61912 h 548589"/>
            <a:gd name="connsiteX55" fmla="*/ 95250 w 719137"/>
            <a:gd name="connsiteY55" fmla="*/ 66675 h 548589"/>
            <a:gd name="connsiteX56" fmla="*/ 66675 w 719137"/>
            <a:gd name="connsiteY56" fmla="*/ 76200 h 548589"/>
            <a:gd name="connsiteX57" fmla="*/ 38100 w 719137"/>
            <a:gd name="connsiteY57" fmla="*/ 90487 h 548589"/>
            <a:gd name="connsiteX58" fmla="*/ 0 w 719137"/>
            <a:gd name="connsiteY58" fmla="*/ 90487 h 54858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Lst>
          <a:rect l="l" t="t" r="r" b="b"/>
          <a:pathLst>
            <a:path w="719137" h="548589">
              <a:moveTo>
                <a:pt x="0" y="90487"/>
              </a:moveTo>
              <a:lnTo>
                <a:pt x="0" y="90487"/>
              </a:lnTo>
              <a:cubicBezTo>
                <a:pt x="7937" y="101600"/>
                <a:pt x="15281" y="113161"/>
                <a:pt x="23812" y="123825"/>
              </a:cubicBezTo>
              <a:cubicBezTo>
                <a:pt x="28019" y="129084"/>
                <a:pt x="33965" y="132796"/>
                <a:pt x="38100" y="138112"/>
              </a:cubicBezTo>
              <a:cubicBezTo>
                <a:pt x="45128" y="147148"/>
                <a:pt x="50800" y="157162"/>
                <a:pt x="57150" y="166687"/>
              </a:cubicBezTo>
              <a:lnTo>
                <a:pt x="66675" y="180975"/>
              </a:lnTo>
              <a:cubicBezTo>
                <a:pt x="68262" y="185737"/>
                <a:pt x="70058" y="190435"/>
                <a:pt x="71437" y="195262"/>
              </a:cubicBezTo>
              <a:cubicBezTo>
                <a:pt x="76094" y="211560"/>
                <a:pt x="77735" y="230135"/>
                <a:pt x="90487" y="242887"/>
              </a:cubicBezTo>
              <a:cubicBezTo>
                <a:pt x="94535" y="246934"/>
                <a:pt x="100012" y="249237"/>
                <a:pt x="104775" y="252412"/>
              </a:cubicBezTo>
              <a:lnTo>
                <a:pt x="123825" y="280987"/>
              </a:lnTo>
              <a:cubicBezTo>
                <a:pt x="126487" y="284980"/>
                <a:pt x="163601" y="293032"/>
                <a:pt x="171450" y="295275"/>
              </a:cubicBezTo>
              <a:cubicBezTo>
                <a:pt x="176277" y="296654"/>
                <a:pt x="180975" y="298450"/>
                <a:pt x="185737" y="300037"/>
              </a:cubicBezTo>
              <a:cubicBezTo>
                <a:pt x="232171" y="330992"/>
                <a:pt x="160027" y="282516"/>
                <a:pt x="219075" y="323850"/>
              </a:cubicBezTo>
              <a:cubicBezTo>
                <a:pt x="228453" y="330415"/>
                <a:pt x="236790" y="339280"/>
                <a:pt x="247650" y="342900"/>
              </a:cubicBezTo>
              <a:lnTo>
                <a:pt x="261937" y="347662"/>
              </a:lnTo>
              <a:cubicBezTo>
                <a:pt x="294062" y="379787"/>
                <a:pt x="277733" y="371977"/>
                <a:pt x="304800" y="381000"/>
              </a:cubicBezTo>
              <a:lnTo>
                <a:pt x="323850" y="409575"/>
              </a:lnTo>
              <a:cubicBezTo>
                <a:pt x="329206" y="417610"/>
                <a:pt x="326517" y="428724"/>
                <a:pt x="328612" y="438150"/>
              </a:cubicBezTo>
              <a:cubicBezTo>
                <a:pt x="329701" y="443050"/>
                <a:pt x="330161" y="448581"/>
                <a:pt x="333375" y="452437"/>
              </a:cubicBezTo>
              <a:cubicBezTo>
                <a:pt x="338457" y="458535"/>
                <a:pt x="346398" y="461559"/>
                <a:pt x="352425" y="466725"/>
              </a:cubicBezTo>
              <a:cubicBezTo>
                <a:pt x="357539" y="471108"/>
                <a:pt x="361598" y="476629"/>
                <a:pt x="366712" y="481012"/>
              </a:cubicBezTo>
              <a:cubicBezTo>
                <a:pt x="372739" y="486178"/>
                <a:pt x="379735" y="490134"/>
                <a:pt x="385762" y="495300"/>
              </a:cubicBezTo>
              <a:cubicBezTo>
                <a:pt x="390876" y="499683"/>
                <a:pt x="395738" y="504413"/>
                <a:pt x="400050" y="509587"/>
              </a:cubicBezTo>
              <a:cubicBezTo>
                <a:pt x="403714" y="513984"/>
                <a:pt x="404812" y="520700"/>
                <a:pt x="409575" y="523875"/>
              </a:cubicBezTo>
              <a:cubicBezTo>
                <a:pt x="415021" y="527506"/>
                <a:pt x="422331" y="526839"/>
                <a:pt x="428625" y="528637"/>
              </a:cubicBezTo>
              <a:cubicBezTo>
                <a:pt x="433452" y="530016"/>
                <a:pt x="438150" y="531812"/>
                <a:pt x="442912" y="533400"/>
              </a:cubicBezTo>
              <a:cubicBezTo>
                <a:pt x="446087" y="538162"/>
                <a:pt x="449003" y="552266"/>
                <a:pt x="452437" y="547687"/>
              </a:cubicBezTo>
              <a:cubicBezTo>
                <a:pt x="459172" y="538707"/>
                <a:pt x="454999" y="525357"/>
                <a:pt x="457200" y="514350"/>
              </a:cubicBezTo>
              <a:cubicBezTo>
                <a:pt x="458185" y="509427"/>
                <a:pt x="460583" y="504889"/>
                <a:pt x="461962" y="500062"/>
              </a:cubicBezTo>
              <a:cubicBezTo>
                <a:pt x="463760" y="493768"/>
                <a:pt x="463798" y="486866"/>
                <a:pt x="466725" y="481012"/>
              </a:cubicBezTo>
              <a:cubicBezTo>
                <a:pt x="471845" y="470773"/>
                <a:pt x="479425" y="461962"/>
                <a:pt x="485775" y="452437"/>
              </a:cubicBezTo>
              <a:cubicBezTo>
                <a:pt x="491051" y="444522"/>
                <a:pt x="506199" y="440867"/>
                <a:pt x="514350" y="438150"/>
              </a:cubicBezTo>
              <a:cubicBezTo>
                <a:pt x="517525" y="433387"/>
                <a:pt x="519828" y="427910"/>
                <a:pt x="523875" y="423862"/>
              </a:cubicBezTo>
              <a:cubicBezTo>
                <a:pt x="533108" y="414629"/>
                <a:pt x="540829" y="413448"/>
                <a:pt x="552450" y="409575"/>
              </a:cubicBezTo>
              <a:lnTo>
                <a:pt x="581025" y="366712"/>
              </a:lnTo>
              <a:lnTo>
                <a:pt x="590550" y="352425"/>
              </a:lnTo>
              <a:cubicBezTo>
                <a:pt x="593725" y="347662"/>
                <a:pt x="596028" y="342184"/>
                <a:pt x="600075" y="338137"/>
              </a:cubicBezTo>
              <a:cubicBezTo>
                <a:pt x="604837" y="333375"/>
                <a:pt x="610050" y="329024"/>
                <a:pt x="614362" y="323850"/>
              </a:cubicBezTo>
              <a:cubicBezTo>
                <a:pt x="635503" y="298480"/>
                <a:pt x="614331" y="321048"/>
                <a:pt x="628650" y="295275"/>
              </a:cubicBezTo>
              <a:cubicBezTo>
                <a:pt x="634210" y="285268"/>
                <a:pt x="647700" y="266700"/>
                <a:pt x="647700" y="266700"/>
              </a:cubicBezTo>
              <a:cubicBezTo>
                <a:pt x="659355" y="231735"/>
                <a:pt x="650126" y="245225"/>
                <a:pt x="671512" y="223837"/>
              </a:cubicBezTo>
              <a:cubicBezTo>
                <a:pt x="684657" y="184402"/>
                <a:pt x="675468" y="203616"/>
                <a:pt x="700087" y="166687"/>
              </a:cubicBezTo>
              <a:cubicBezTo>
                <a:pt x="702872" y="162510"/>
                <a:pt x="702605" y="156890"/>
                <a:pt x="704850" y="152400"/>
              </a:cubicBezTo>
              <a:cubicBezTo>
                <a:pt x="707410" y="147280"/>
                <a:pt x="711200" y="142875"/>
                <a:pt x="714375" y="138112"/>
              </a:cubicBezTo>
              <a:lnTo>
                <a:pt x="719137" y="123825"/>
              </a:lnTo>
              <a:lnTo>
                <a:pt x="533400" y="0"/>
              </a:lnTo>
              <a:lnTo>
                <a:pt x="385762" y="52387"/>
              </a:lnTo>
              <a:lnTo>
                <a:pt x="338137" y="0"/>
              </a:lnTo>
              <a:cubicBezTo>
                <a:pt x="322262" y="1587"/>
                <a:pt x="306343" y="2783"/>
                <a:pt x="290512" y="4762"/>
              </a:cubicBezTo>
              <a:cubicBezTo>
                <a:pt x="268235" y="7547"/>
                <a:pt x="223837" y="14287"/>
                <a:pt x="223837" y="14287"/>
              </a:cubicBezTo>
              <a:cubicBezTo>
                <a:pt x="214312" y="17462"/>
                <a:pt x="203616" y="18243"/>
                <a:pt x="195262" y="23812"/>
              </a:cubicBezTo>
              <a:cubicBezTo>
                <a:pt x="190500" y="26987"/>
                <a:pt x="186205" y="31012"/>
                <a:pt x="180975" y="33337"/>
              </a:cubicBezTo>
              <a:cubicBezTo>
                <a:pt x="171800" y="37415"/>
                <a:pt x="152400" y="42862"/>
                <a:pt x="152400" y="42862"/>
              </a:cubicBezTo>
              <a:cubicBezTo>
                <a:pt x="147637" y="46037"/>
                <a:pt x="143343" y="50062"/>
                <a:pt x="138112" y="52387"/>
              </a:cubicBezTo>
              <a:cubicBezTo>
                <a:pt x="128937" y="56465"/>
                <a:pt x="119062" y="58737"/>
                <a:pt x="109537" y="61912"/>
              </a:cubicBezTo>
              <a:lnTo>
                <a:pt x="95250" y="66675"/>
              </a:lnTo>
              <a:cubicBezTo>
                <a:pt x="95245" y="66677"/>
                <a:pt x="66680" y="76196"/>
                <a:pt x="66675" y="76200"/>
              </a:cubicBezTo>
              <a:cubicBezTo>
                <a:pt x="48210" y="88509"/>
                <a:pt x="57817" y="83915"/>
                <a:pt x="38100" y="90487"/>
              </a:cubicBezTo>
              <a:lnTo>
                <a:pt x="0" y="904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567565</xdr:colOff>
      <xdr:row>95</xdr:row>
      <xdr:rowOff>90768</xdr:rowOff>
    </xdr:from>
    <xdr:to>
      <xdr:col>11</xdr:col>
      <xdr:colOff>525506</xdr:colOff>
      <xdr:row>98</xdr:row>
      <xdr:rowOff>97389</xdr:rowOff>
    </xdr:to>
    <xdr:sp macro="" textlink="">
      <xdr:nvSpPr>
        <xdr:cNvPr id="47" name="Tennessee"/>
        <xdr:cNvSpPr/>
      </xdr:nvSpPr>
      <xdr:spPr>
        <a:xfrm>
          <a:off x="5558665" y="15914968"/>
          <a:ext cx="1177141" cy="501921"/>
        </a:xfrm>
        <a:custGeom>
          <a:avLst/>
          <a:gdLst>
            <a:gd name="connsiteX0" fmla="*/ 128830 w 1186105"/>
            <a:gd name="connsiteY0" fmla="*/ 204788 h 517049"/>
            <a:gd name="connsiteX1" fmla="*/ 128830 w 1186105"/>
            <a:gd name="connsiteY1" fmla="*/ 204788 h 517049"/>
            <a:gd name="connsiteX2" fmla="*/ 95492 w 1186105"/>
            <a:gd name="connsiteY2" fmla="*/ 228600 h 517049"/>
            <a:gd name="connsiteX3" fmla="*/ 81205 w 1186105"/>
            <a:gd name="connsiteY3" fmla="*/ 276225 h 517049"/>
            <a:gd name="connsiteX4" fmla="*/ 71680 w 1186105"/>
            <a:gd name="connsiteY4" fmla="*/ 290513 h 517049"/>
            <a:gd name="connsiteX5" fmla="*/ 57392 w 1186105"/>
            <a:gd name="connsiteY5" fmla="*/ 319088 h 517049"/>
            <a:gd name="connsiteX6" fmla="*/ 47867 w 1186105"/>
            <a:gd name="connsiteY6" fmla="*/ 385763 h 517049"/>
            <a:gd name="connsiteX7" fmla="*/ 28817 w 1186105"/>
            <a:gd name="connsiteY7" fmla="*/ 428625 h 517049"/>
            <a:gd name="connsiteX8" fmla="*/ 242 w 1186105"/>
            <a:gd name="connsiteY8" fmla="*/ 514350 h 517049"/>
            <a:gd name="connsiteX9" fmla="*/ 24055 w 1186105"/>
            <a:gd name="connsiteY9" fmla="*/ 509588 h 517049"/>
            <a:gd name="connsiteX10" fmla="*/ 52630 w 1186105"/>
            <a:gd name="connsiteY10" fmla="*/ 504825 h 517049"/>
            <a:gd name="connsiteX11" fmla="*/ 205030 w 1186105"/>
            <a:gd name="connsiteY11" fmla="*/ 500063 h 517049"/>
            <a:gd name="connsiteX12" fmla="*/ 219317 w 1186105"/>
            <a:gd name="connsiteY12" fmla="*/ 495300 h 517049"/>
            <a:gd name="connsiteX13" fmla="*/ 295517 w 1186105"/>
            <a:gd name="connsiteY13" fmla="*/ 485775 h 517049"/>
            <a:gd name="connsiteX14" fmla="*/ 324092 w 1186105"/>
            <a:gd name="connsiteY14" fmla="*/ 471488 h 517049"/>
            <a:gd name="connsiteX15" fmla="*/ 338380 w 1186105"/>
            <a:gd name="connsiteY15" fmla="*/ 466725 h 517049"/>
            <a:gd name="connsiteX16" fmla="*/ 352667 w 1186105"/>
            <a:gd name="connsiteY16" fmla="*/ 457200 h 517049"/>
            <a:gd name="connsiteX17" fmla="*/ 371717 w 1186105"/>
            <a:gd name="connsiteY17" fmla="*/ 452438 h 517049"/>
            <a:gd name="connsiteX18" fmla="*/ 386005 w 1186105"/>
            <a:gd name="connsiteY18" fmla="*/ 442913 h 517049"/>
            <a:gd name="connsiteX19" fmla="*/ 414580 w 1186105"/>
            <a:gd name="connsiteY19" fmla="*/ 457200 h 517049"/>
            <a:gd name="connsiteX20" fmla="*/ 428867 w 1186105"/>
            <a:gd name="connsiteY20" fmla="*/ 461963 h 517049"/>
            <a:gd name="connsiteX21" fmla="*/ 462205 w 1186105"/>
            <a:gd name="connsiteY21" fmla="*/ 457200 h 517049"/>
            <a:gd name="connsiteX22" fmla="*/ 476492 w 1186105"/>
            <a:gd name="connsiteY22" fmla="*/ 452438 h 517049"/>
            <a:gd name="connsiteX23" fmla="*/ 500305 w 1186105"/>
            <a:gd name="connsiteY23" fmla="*/ 447675 h 517049"/>
            <a:gd name="connsiteX24" fmla="*/ 543167 w 1186105"/>
            <a:gd name="connsiteY24" fmla="*/ 428625 h 517049"/>
            <a:gd name="connsiteX25" fmla="*/ 581267 w 1186105"/>
            <a:gd name="connsiteY25" fmla="*/ 419100 h 517049"/>
            <a:gd name="connsiteX26" fmla="*/ 643180 w 1186105"/>
            <a:gd name="connsiteY26" fmla="*/ 414338 h 517049"/>
            <a:gd name="connsiteX27" fmla="*/ 700330 w 1186105"/>
            <a:gd name="connsiteY27" fmla="*/ 404813 h 517049"/>
            <a:gd name="connsiteX28" fmla="*/ 714617 w 1186105"/>
            <a:gd name="connsiteY28" fmla="*/ 400050 h 517049"/>
            <a:gd name="connsiteX29" fmla="*/ 747955 w 1186105"/>
            <a:gd name="connsiteY29" fmla="*/ 395288 h 517049"/>
            <a:gd name="connsiteX30" fmla="*/ 776530 w 1186105"/>
            <a:gd name="connsiteY30" fmla="*/ 385763 h 517049"/>
            <a:gd name="connsiteX31" fmla="*/ 809867 w 1186105"/>
            <a:gd name="connsiteY31" fmla="*/ 376238 h 517049"/>
            <a:gd name="connsiteX32" fmla="*/ 852730 w 1186105"/>
            <a:gd name="connsiteY32" fmla="*/ 371475 h 517049"/>
            <a:gd name="connsiteX33" fmla="*/ 871780 w 1186105"/>
            <a:gd name="connsiteY33" fmla="*/ 366713 h 517049"/>
            <a:gd name="connsiteX34" fmla="*/ 886067 w 1186105"/>
            <a:gd name="connsiteY34" fmla="*/ 361950 h 517049"/>
            <a:gd name="connsiteX35" fmla="*/ 876542 w 1186105"/>
            <a:gd name="connsiteY35" fmla="*/ 347663 h 517049"/>
            <a:gd name="connsiteX36" fmla="*/ 881305 w 1186105"/>
            <a:gd name="connsiteY36" fmla="*/ 304800 h 517049"/>
            <a:gd name="connsiteX37" fmla="*/ 909880 w 1186105"/>
            <a:gd name="connsiteY37" fmla="*/ 280988 h 517049"/>
            <a:gd name="connsiteX38" fmla="*/ 924167 w 1186105"/>
            <a:gd name="connsiteY38" fmla="*/ 271463 h 517049"/>
            <a:gd name="connsiteX39" fmla="*/ 928930 w 1186105"/>
            <a:gd name="connsiteY39" fmla="*/ 257175 h 517049"/>
            <a:gd name="connsiteX40" fmla="*/ 962267 w 1186105"/>
            <a:gd name="connsiteY40" fmla="*/ 223838 h 517049"/>
            <a:gd name="connsiteX41" fmla="*/ 976555 w 1186105"/>
            <a:gd name="connsiteY41" fmla="*/ 209550 h 517049"/>
            <a:gd name="connsiteX42" fmla="*/ 1024180 w 1186105"/>
            <a:gd name="connsiteY42" fmla="*/ 152400 h 517049"/>
            <a:gd name="connsiteX43" fmla="*/ 1038467 w 1186105"/>
            <a:gd name="connsiteY43" fmla="*/ 142875 h 517049"/>
            <a:gd name="connsiteX44" fmla="*/ 1052755 w 1186105"/>
            <a:gd name="connsiteY44" fmla="*/ 128588 h 517049"/>
            <a:gd name="connsiteX45" fmla="*/ 1076567 w 1186105"/>
            <a:gd name="connsiteY45" fmla="*/ 100013 h 517049"/>
            <a:gd name="connsiteX46" fmla="*/ 1095617 w 1186105"/>
            <a:gd name="connsiteY46" fmla="*/ 90488 h 517049"/>
            <a:gd name="connsiteX47" fmla="*/ 1109905 w 1186105"/>
            <a:gd name="connsiteY47" fmla="*/ 76200 h 517049"/>
            <a:gd name="connsiteX48" fmla="*/ 1152767 w 1186105"/>
            <a:gd name="connsiteY48" fmla="*/ 52388 h 517049"/>
            <a:gd name="connsiteX49" fmla="*/ 1176580 w 1186105"/>
            <a:gd name="connsiteY49" fmla="*/ 28575 h 517049"/>
            <a:gd name="connsiteX50" fmla="*/ 1186105 w 1186105"/>
            <a:gd name="connsiteY50" fmla="*/ 0 h 517049"/>
            <a:gd name="connsiteX51" fmla="*/ 690805 w 1186105"/>
            <a:gd name="connsiteY51" fmla="*/ 104775 h 517049"/>
            <a:gd name="connsiteX52" fmla="*/ 662230 w 1186105"/>
            <a:gd name="connsiteY52" fmla="*/ 90488 h 517049"/>
            <a:gd name="connsiteX53" fmla="*/ 300280 w 1186105"/>
            <a:gd name="connsiteY53" fmla="*/ 161925 h 517049"/>
            <a:gd name="connsiteX54" fmla="*/ 252655 w 1186105"/>
            <a:gd name="connsiteY54" fmla="*/ 200025 h 517049"/>
            <a:gd name="connsiteX55" fmla="*/ 128830 w 1186105"/>
            <a:gd name="connsiteY55" fmla="*/ 204788 h 51704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Lst>
          <a:rect l="l" t="t" r="r" b="b"/>
          <a:pathLst>
            <a:path w="1186105" h="517049">
              <a:moveTo>
                <a:pt x="128830" y="204788"/>
              </a:moveTo>
              <a:lnTo>
                <a:pt x="128830" y="204788"/>
              </a:lnTo>
              <a:cubicBezTo>
                <a:pt x="117717" y="212725"/>
                <a:pt x="104140" y="218031"/>
                <a:pt x="95492" y="228600"/>
              </a:cubicBezTo>
              <a:cubicBezTo>
                <a:pt x="85887" y="240340"/>
                <a:pt x="87105" y="262458"/>
                <a:pt x="81205" y="276225"/>
              </a:cubicBezTo>
              <a:cubicBezTo>
                <a:pt x="78950" y="281486"/>
                <a:pt x="74240" y="285393"/>
                <a:pt x="71680" y="290513"/>
              </a:cubicBezTo>
              <a:cubicBezTo>
                <a:pt x="51961" y="329949"/>
                <a:pt x="84690" y="278139"/>
                <a:pt x="57392" y="319088"/>
              </a:cubicBezTo>
              <a:cubicBezTo>
                <a:pt x="44098" y="358973"/>
                <a:pt x="63519" y="297069"/>
                <a:pt x="47867" y="385763"/>
              </a:cubicBezTo>
              <a:cubicBezTo>
                <a:pt x="43786" y="408887"/>
                <a:pt x="39776" y="412187"/>
                <a:pt x="28817" y="428625"/>
              </a:cubicBezTo>
              <a:lnTo>
                <a:pt x="242" y="514350"/>
              </a:lnTo>
              <a:cubicBezTo>
                <a:pt x="-2318" y="522029"/>
                <a:pt x="16091" y="511036"/>
                <a:pt x="24055" y="509588"/>
              </a:cubicBezTo>
              <a:cubicBezTo>
                <a:pt x="33556" y="507861"/>
                <a:pt x="42987" y="505333"/>
                <a:pt x="52630" y="504825"/>
              </a:cubicBezTo>
              <a:cubicBezTo>
                <a:pt x="103385" y="502154"/>
                <a:pt x="154230" y="501650"/>
                <a:pt x="205030" y="500063"/>
              </a:cubicBezTo>
              <a:cubicBezTo>
                <a:pt x="209792" y="498475"/>
                <a:pt x="214394" y="496285"/>
                <a:pt x="219317" y="495300"/>
              </a:cubicBezTo>
              <a:cubicBezTo>
                <a:pt x="236292" y="491905"/>
                <a:pt x="280676" y="487424"/>
                <a:pt x="295517" y="485775"/>
              </a:cubicBezTo>
              <a:cubicBezTo>
                <a:pt x="331424" y="473808"/>
                <a:pt x="287170" y="489949"/>
                <a:pt x="324092" y="471488"/>
              </a:cubicBezTo>
              <a:cubicBezTo>
                <a:pt x="328582" y="469243"/>
                <a:pt x="333890" y="468970"/>
                <a:pt x="338380" y="466725"/>
              </a:cubicBezTo>
              <a:cubicBezTo>
                <a:pt x="343499" y="464165"/>
                <a:pt x="347406" y="459455"/>
                <a:pt x="352667" y="457200"/>
              </a:cubicBezTo>
              <a:cubicBezTo>
                <a:pt x="358683" y="454622"/>
                <a:pt x="365367" y="454025"/>
                <a:pt x="371717" y="452438"/>
              </a:cubicBezTo>
              <a:cubicBezTo>
                <a:pt x="376480" y="449263"/>
                <a:pt x="380359" y="443854"/>
                <a:pt x="386005" y="442913"/>
              </a:cubicBezTo>
              <a:cubicBezTo>
                <a:pt x="394982" y="441417"/>
                <a:pt x="408361" y="454090"/>
                <a:pt x="414580" y="457200"/>
              </a:cubicBezTo>
              <a:cubicBezTo>
                <a:pt x="419070" y="459445"/>
                <a:pt x="424105" y="460375"/>
                <a:pt x="428867" y="461963"/>
              </a:cubicBezTo>
              <a:cubicBezTo>
                <a:pt x="439980" y="460375"/>
                <a:pt x="451197" y="459402"/>
                <a:pt x="462205" y="457200"/>
              </a:cubicBezTo>
              <a:cubicBezTo>
                <a:pt x="467127" y="456216"/>
                <a:pt x="471622" y="453656"/>
                <a:pt x="476492" y="452438"/>
              </a:cubicBezTo>
              <a:cubicBezTo>
                <a:pt x="484345" y="450475"/>
                <a:pt x="492367" y="449263"/>
                <a:pt x="500305" y="447675"/>
              </a:cubicBezTo>
              <a:cubicBezTo>
                <a:pt x="522945" y="432581"/>
                <a:pt x="509164" y="439959"/>
                <a:pt x="543167" y="428625"/>
              </a:cubicBezTo>
              <a:cubicBezTo>
                <a:pt x="558000" y="423681"/>
                <a:pt x="564035" y="421015"/>
                <a:pt x="581267" y="419100"/>
              </a:cubicBezTo>
              <a:cubicBezTo>
                <a:pt x="601839" y="416814"/>
                <a:pt x="622584" y="416398"/>
                <a:pt x="643180" y="414338"/>
              </a:cubicBezTo>
              <a:cubicBezTo>
                <a:pt x="656608" y="412995"/>
                <a:pt x="685645" y="408484"/>
                <a:pt x="700330" y="404813"/>
              </a:cubicBezTo>
              <a:cubicBezTo>
                <a:pt x="705200" y="403595"/>
                <a:pt x="709694" y="401035"/>
                <a:pt x="714617" y="400050"/>
              </a:cubicBezTo>
              <a:cubicBezTo>
                <a:pt x="725624" y="397849"/>
                <a:pt x="736842" y="396875"/>
                <a:pt x="747955" y="395288"/>
              </a:cubicBezTo>
              <a:lnTo>
                <a:pt x="776530" y="385763"/>
              </a:lnTo>
              <a:cubicBezTo>
                <a:pt x="787205" y="382204"/>
                <a:pt x="798752" y="377948"/>
                <a:pt x="809867" y="376238"/>
              </a:cubicBezTo>
              <a:cubicBezTo>
                <a:pt x="824075" y="374052"/>
                <a:pt x="838442" y="373063"/>
                <a:pt x="852730" y="371475"/>
              </a:cubicBezTo>
              <a:cubicBezTo>
                <a:pt x="859080" y="369888"/>
                <a:pt x="865486" y="368511"/>
                <a:pt x="871780" y="366713"/>
              </a:cubicBezTo>
              <a:cubicBezTo>
                <a:pt x="876607" y="365334"/>
                <a:pt x="884850" y="366820"/>
                <a:pt x="886067" y="361950"/>
              </a:cubicBezTo>
              <a:cubicBezTo>
                <a:pt x="887455" y="356397"/>
                <a:pt x="879717" y="352425"/>
                <a:pt x="876542" y="347663"/>
              </a:cubicBezTo>
              <a:cubicBezTo>
                <a:pt x="878130" y="333375"/>
                <a:pt x="877818" y="318746"/>
                <a:pt x="881305" y="304800"/>
              </a:cubicBezTo>
              <a:cubicBezTo>
                <a:pt x="885357" y="288592"/>
                <a:pt x="897384" y="288129"/>
                <a:pt x="909880" y="280988"/>
              </a:cubicBezTo>
              <a:cubicBezTo>
                <a:pt x="914850" y="278148"/>
                <a:pt x="919405" y="274638"/>
                <a:pt x="924167" y="271463"/>
              </a:cubicBezTo>
              <a:cubicBezTo>
                <a:pt x="925755" y="266700"/>
                <a:pt x="925794" y="261095"/>
                <a:pt x="928930" y="257175"/>
              </a:cubicBezTo>
              <a:cubicBezTo>
                <a:pt x="938747" y="244903"/>
                <a:pt x="951155" y="234950"/>
                <a:pt x="962267" y="223838"/>
              </a:cubicBezTo>
              <a:cubicBezTo>
                <a:pt x="967030" y="219075"/>
                <a:pt x="972819" y="215154"/>
                <a:pt x="976555" y="209550"/>
              </a:cubicBezTo>
              <a:cubicBezTo>
                <a:pt x="1003077" y="169767"/>
                <a:pt x="987510" y="189070"/>
                <a:pt x="1024180" y="152400"/>
              </a:cubicBezTo>
              <a:cubicBezTo>
                <a:pt x="1028227" y="148353"/>
                <a:pt x="1034070" y="146539"/>
                <a:pt x="1038467" y="142875"/>
              </a:cubicBezTo>
              <a:cubicBezTo>
                <a:pt x="1043641" y="138563"/>
                <a:pt x="1048443" y="133762"/>
                <a:pt x="1052755" y="128588"/>
              </a:cubicBezTo>
              <a:cubicBezTo>
                <a:pt x="1065042" y="113844"/>
                <a:pt x="1059378" y="112291"/>
                <a:pt x="1076567" y="100013"/>
              </a:cubicBezTo>
              <a:cubicBezTo>
                <a:pt x="1082344" y="95887"/>
                <a:pt x="1089840" y="94615"/>
                <a:pt x="1095617" y="90488"/>
              </a:cubicBezTo>
              <a:cubicBezTo>
                <a:pt x="1101098" y="86573"/>
                <a:pt x="1104588" y="80335"/>
                <a:pt x="1109905" y="76200"/>
              </a:cubicBezTo>
              <a:cubicBezTo>
                <a:pt x="1134469" y="57094"/>
                <a:pt x="1131210" y="59573"/>
                <a:pt x="1152767" y="52388"/>
              </a:cubicBezTo>
              <a:cubicBezTo>
                <a:pt x="1165802" y="43698"/>
                <a:pt x="1169895" y="43616"/>
                <a:pt x="1176580" y="28575"/>
              </a:cubicBezTo>
              <a:cubicBezTo>
                <a:pt x="1180658" y="19400"/>
                <a:pt x="1186105" y="0"/>
                <a:pt x="1186105" y="0"/>
              </a:cubicBezTo>
              <a:lnTo>
                <a:pt x="690805" y="104775"/>
              </a:lnTo>
              <a:lnTo>
                <a:pt x="662230" y="90488"/>
              </a:lnTo>
              <a:lnTo>
                <a:pt x="300280" y="161925"/>
              </a:lnTo>
              <a:lnTo>
                <a:pt x="252655" y="200025"/>
              </a:lnTo>
              <a:lnTo>
                <a:pt x="128830" y="20478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72788</xdr:colOff>
      <xdr:row>93</xdr:row>
      <xdr:rowOff>54816</xdr:rowOff>
    </xdr:from>
    <xdr:to>
      <xdr:col>11</xdr:col>
      <xdr:colOff>439781</xdr:colOff>
      <xdr:row>96</xdr:row>
      <xdr:rowOff>125132</xdr:rowOff>
    </xdr:to>
    <xdr:sp macro="" textlink="">
      <xdr:nvSpPr>
        <xdr:cNvPr id="48" name="Kentucky"/>
        <xdr:cNvSpPr/>
      </xdr:nvSpPr>
      <xdr:spPr>
        <a:xfrm>
          <a:off x="5673488" y="15548816"/>
          <a:ext cx="976593" cy="565616"/>
        </a:xfrm>
        <a:custGeom>
          <a:avLst/>
          <a:gdLst>
            <a:gd name="connsiteX0" fmla="*/ 0 w 981075"/>
            <a:gd name="connsiteY0" fmla="*/ 476250 h 585787"/>
            <a:gd name="connsiteX1" fmla="*/ 0 w 981075"/>
            <a:gd name="connsiteY1" fmla="*/ 476250 h 585787"/>
            <a:gd name="connsiteX2" fmla="*/ 9525 w 981075"/>
            <a:gd name="connsiteY2" fmla="*/ 542925 h 585787"/>
            <a:gd name="connsiteX3" fmla="*/ 14287 w 981075"/>
            <a:gd name="connsiteY3" fmla="*/ 576262 h 585787"/>
            <a:gd name="connsiteX4" fmla="*/ 33337 w 981075"/>
            <a:gd name="connsiteY4" fmla="*/ 581025 h 585787"/>
            <a:gd name="connsiteX5" fmla="*/ 66675 w 981075"/>
            <a:gd name="connsiteY5" fmla="*/ 585787 h 585787"/>
            <a:gd name="connsiteX6" fmla="*/ 114300 w 981075"/>
            <a:gd name="connsiteY6" fmla="*/ 581025 h 585787"/>
            <a:gd name="connsiteX7" fmla="*/ 138112 w 981075"/>
            <a:gd name="connsiteY7" fmla="*/ 576262 h 585787"/>
            <a:gd name="connsiteX8" fmla="*/ 147637 w 981075"/>
            <a:gd name="connsiteY8" fmla="*/ 561975 h 585787"/>
            <a:gd name="connsiteX9" fmla="*/ 190500 w 981075"/>
            <a:gd name="connsiteY9" fmla="*/ 528637 h 585787"/>
            <a:gd name="connsiteX10" fmla="*/ 204787 w 981075"/>
            <a:gd name="connsiteY10" fmla="*/ 519112 h 585787"/>
            <a:gd name="connsiteX11" fmla="*/ 238125 w 981075"/>
            <a:gd name="connsiteY11" fmla="*/ 514350 h 585787"/>
            <a:gd name="connsiteX12" fmla="*/ 266700 w 981075"/>
            <a:gd name="connsiteY12" fmla="*/ 509587 h 585787"/>
            <a:gd name="connsiteX13" fmla="*/ 314325 w 981075"/>
            <a:gd name="connsiteY13" fmla="*/ 504825 h 585787"/>
            <a:gd name="connsiteX14" fmla="*/ 347662 w 981075"/>
            <a:gd name="connsiteY14" fmla="*/ 500062 h 585787"/>
            <a:gd name="connsiteX15" fmla="*/ 461962 w 981075"/>
            <a:gd name="connsiteY15" fmla="*/ 490537 h 585787"/>
            <a:gd name="connsiteX16" fmla="*/ 514350 w 981075"/>
            <a:gd name="connsiteY16" fmla="*/ 481012 h 585787"/>
            <a:gd name="connsiteX17" fmla="*/ 542925 w 981075"/>
            <a:gd name="connsiteY17" fmla="*/ 471487 h 585787"/>
            <a:gd name="connsiteX18" fmla="*/ 557212 w 981075"/>
            <a:gd name="connsiteY18" fmla="*/ 466725 h 585787"/>
            <a:gd name="connsiteX19" fmla="*/ 571500 w 981075"/>
            <a:gd name="connsiteY19" fmla="*/ 461962 h 585787"/>
            <a:gd name="connsiteX20" fmla="*/ 676275 w 981075"/>
            <a:gd name="connsiteY20" fmla="*/ 457200 h 585787"/>
            <a:gd name="connsiteX21" fmla="*/ 690562 w 981075"/>
            <a:gd name="connsiteY21" fmla="*/ 452437 h 585787"/>
            <a:gd name="connsiteX22" fmla="*/ 728662 w 981075"/>
            <a:gd name="connsiteY22" fmla="*/ 433387 h 585787"/>
            <a:gd name="connsiteX23" fmla="*/ 742950 w 981075"/>
            <a:gd name="connsiteY23" fmla="*/ 428625 h 585787"/>
            <a:gd name="connsiteX24" fmla="*/ 762000 w 981075"/>
            <a:gd name="connsiteY24" fmla="*/ 419100 h 585787"/>
            <a:gd name="connsiteX25" fmla="*/ 828675 w 981075"/>
            <a:gd name="connsiteY25" fmla="*/ 409575 h 585787"/>
            <a:gd name="connsiteX26" fmla="*/ 857250 w 981075"/>
            <a:gd name="connsiteY26" fmla="*/ 390525 h 585787"/>
            <a:gd name="connsiteX27" fmla="*/ 871537 w 981075"/>
            <a:gd name="connsiteY27" fmla="*/ 381000 h 585787"/>
            <a:gd name="connsiteX28" fmla="*/ 881062 w 981075"/>
            <a:gd name="connsiteY28" fmla="*/ 366712 h 585787"/>
            <a:gd name="connsiteX29" fmla="*/ 885825 w 981075"/>
            <a:gd name="connsiteY29" fmla="*/ 347662 h 585787"/>
            <a:gd name="connsiteX30" fmla="*/ 900112 w 981075"/>
            <a:gd name="connsiteY30" fmla="*/ 338137 h 585787"/>
            <a:gd name="connsiteX31" fmla="*/ 928687 w 981075"/>
            <a:gd name="connsiteY31" fmla="*/ 295275 h 585787"/>
            <a:gd name="connsiteX32" fmla="*/ 933450 w 981075"/>
            <a:gd name="connsiteY32" fmla="*/ 280987 h 585787"/>
            <a:gd name="connsiteX33" fmla="*/ 952500 w 981075"/>
            <a:gd name="connsiteY33" fmla="*/ 252412 h 585787"/>
            <a:gd name="connsiteX34" fmla="*/ 962025 w 981075"/>
            <a:gd name="connsiteY34" fmla="*/ 223837 h 585787"/>
            <a:gd name="connsiteX35" fmla="*/ 981075 w 981075"/>
            <a:gd name="connsiteY35" fmla="*/ 195262 h 585787"/>
            <a:gd name="connsiteX36" fmla="*/ 966787 w 981075"/>
            <a:gd name="connsiteY36" fmla="*/ 185737 h 585787"/>
            <a:gd name="connsiteX37" fmla="*/ 952500 w 981075"/>
            <a:gd name="connsiteY37" fmla="*/ 180975 h 585787"/>
            <a:gd name="connsiteX38" fmla="*/ 938212 w 981075"/>
            <a:gd name="connsiteY38" fmla="*/ 166687 h 585787"/>
            <a:gd name="connsiteX39" fmla="*/ 933450 w 981075"/>
            <a:gd name="connsiteY39" fmla="*/ 133350 h 585787"/>
            <a:gd name="connsiteX40" fmla="*/ 919162 w 981075"/>
            <a:gd name="connsiteY40" fmla="*/ 85725 h 585787"/>
            <a:gd name="connsiteX41" fmla="*/ 909637 w 981075"/>
            <a:gd name="connsiteY41" fmla="*/ 71437 h 585787"/>
            <a:gd name="connsiteX42" fmla="*/ 885825 w 981075"/>
            <a:gd name="connsiteY42" fmla="*/ 33337 h 585787"/>
            <a:gd name="connsiteX43" fmla="*/ 866775 w 981075"/>
            <a:gd name="connsiteY43" fmla="*/ 28575 h 585787"/>
            <a:gd name="connsiteX44" fmla="*/ 838200 w 981075"/>
            <a:gd name="connsiteY44" fmla="*/ 9525 h 585787"/>
            <a:gd name="connsiteX45" fmla="*/ 823912 w 981075"/>
            <a:gd name="connsiteY45" fmla="*/ 0 h 585787"/>
            <a:gd name="connsiteX46" fmla="*/ 809625 w 981075"/>
            <a:gd name="connsiteY46" fmla="*/ 4762 h 585787"/>
            <a:gd name="connsiteX47" fmla="*/ 800100 w 981075"/>
            <a:gd name="connsiteY47" fmla="*/ 19050 h 585787"/>
            <a:gd name="connsiteX48" fmla="*/ 785812 w 981075"/>
            <a:gd name="connsiteY48" fmla="*/ 28575 h 585787"/>
            <a:gd name="connsiteX49" fmla="*/ 647700 w 981075"/>
            <a:gd name="connsiteY49" fmla="*/ 23812 h 585787"/>
            <a:gd name="connsiteX50" fmla="*/ 633412 w 981075"/>
            <a:gd name="connsiteY50" fmla="*/ 14287 h 585787"/>
            <a:gd name="connsiteX51" fmla="*/ 590550 w 981075"/>
            <a:gd name="connsiteY51" fmla="*/ 4762 h 585787"/>
            <a:gd name="connsiteX52" fmla="*/ 576262 w 981075"/>
            <a:gd name="connsiteY52" fmla="*/ 9525 h 585787"/>
            <a:gd name="connsiteX53" fmla="*/ 571500 w 981075"/>
            <a:gd name="connsiteY53" fmla="*/ 38100 h 585787"/>
            <a:gd name="connsiteX54" fmla="*/ 566737 w 981075"/>
            <a:gd name="connsiteY54" fmla="*/ 52387 h 585787"/>
            <a:gd name="connsiteX55" fmla="*/ 547687 w 981075"/>
            <a:gd name="connsiteY55" fmla="*/ 61912 h 585787"/>
            <a:gd name="connsiteX56" fmla="*/ 538162 w 981075"/>
            <a:gd name="connsiteY56" fmla="*/ 76200 h 585787"/>
            <a:gd name="connsiteX57" fmla="*/ 523875 w 981075"/>
            <a:gd name="connsiteY57" fmla="*/ 80962 h 585787"/>
            <a:gd name="connsiteX58" fmla="*/ 509587 w 981075"/>
            <a:gd name="connsiteY58" fmla="*/ 90487 h 585787"/>
            <a:gd name="connsiteX59" fmla="*/ 481012 w 981075"/>
            <a:gd name="connsiteY59" fmla="*/ 104775 h 585787"/>
            <a:gd name="connsiteX60" fmla="*/ 471487 w 981075"/>
            <a:gd name="connsiteY60" fmla="*/ 119062 h 585787"/>
            <a:gd name="connsiteX61" fmla="*/ 457200 w 981075"/>
            <a:gd name="connsiteY61" fmla="*/ 133350 h 585787"/>
            <a:gd name="connsiteX62" fmla="*/ 452437 w 981075"/>
            <a:gd name="connsiteY62" fmla="*/ 147637 h 585787"/>
            <a:gd name="connsiteX63" fmla="*/ 442912 w 981075"/>
            <a:gd name="connsiteY63" fmla="*/ 161925 h 585787"/>
            <a:gd name="connsiteX64" fmla="*/ 414337 w 981075"/>
            <a:gd name="connsiteY64" fmla="*/ 219075 h 585787"/>
            <a:gd name="connsiteX65" fmla="*/ 385762 w 981075"/>
            <a:gd name="connsiteY65" fmla="*/ 238125 h 585787"/>
            <a:gd name="connsiteX66" fmla="*/ 371475 w 981075"/>
            <a:gd name="connsiteY66" fmla="*/ 228600 h 585787"/>
            <a:gd name="connsiteX67" fmla="*/ 338137 w 981075"/>
            <a:gd name="connsiteY67" fmla="*/ 247650 h 585787"/>
            <a:gd name="connsiteX68" fmla="*/ 323850 w 981075"/>
            <a:gd name="connsiteY68" fmla="*/ 257175 h 585787"/>
            <a:gd name="connsiteX69" fmla="*/ 309562 w 981075"/>
            <a:gd name="connsiteY69" fmla="*/ 261937 h 585787"/>
            <a:gd name="connsiteX70" fmla="*/ 266700 w 981075"/>
            <a:gd name="connsiteY70" fmla="*/ 285750 h 585787"/>
            <a:gd name="connsiteX71" fmla="*/ 238125 w 981075"/>
            <a:gd name="connsiteY71" fmla="*/ 295275 h 585787"/>
            <a:gd name="connsiteX72" fmla="*/ 223837 w 981075"/>
            <a:gd name="connsiteY72" fmla="*/ 304800 h 585787"/>
            <a:gd name="connsiteX73" fmla="*/ 152400 w 981075"/>
            <a:gd name="connsiteY73" fmla="*/ 314325 h 585787"/>
            <a:gd name="connsiteX74" fmla="*/ 147637 w 981075"/>
            <a:gd name="connsiteY74" fmla="*/ 328612 h 585787"/>
            <a:gd name="connsiteX75" fmla="*/ 128587 w 981075"/>
            <a:gd name="connsiteY75" fmla="*/ 357187 h 585787"/>
            <a:gd name="connsiteX76" fmla="*/ 119062 w 981075"/>
            <a:gd name="connsiteY76" fmla="*/ 390525 h 585787"/>
            <a:gd name="connsiteX77" fmla="*/ 109537 w 981075"/>
            <a:gd name="connsiteY77" fmla="*/ 419100 h 585787"/>
            <a:gd name="connsiteX78" fmla="*/ 100012 w 981075"/>
            <a:gd name="connsiteY78" fmla="*/ 433387 h 585787"/>
            <a:gd name="connsiteX79" fmla="*/ 95250 w 981075"/>
            <a:gd name="connsiteY79" fmla="*/ 447675 h 585787"/>
            <a:gd name="connsiteX80" fmla="*/ 71437 w 981075"/>
            <a:gd name="connsiteY80" fmla="*/ 476250 h 585787"/>
            <a:gd name="connsiteX81" fmla="*/ 57150 w 981075"/>
            <a:gd name="connsiteY81" fmla="*/ 485775 h 585787"/>
            <a:gd name="connsiteX82" fmla="*/ 28575 w 981075"/>
            <a:gd name="connsiteY82" fmla="*/ 495300 h 585787"/>
            <a:gd name="connsiteX83" fmla="*/ 0 w 981075"/>
            <a:gd name="connsiteY83" fmla="*/ 476250 h 585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Lst>
          <a:rect l="l" t="t" r="r" b="b"/>
          <a:pathLst>
            <a:path w="981075" h="585787">
              <a:moveTo>
                <a:pt x="0" y="476250"/>
              </a:moveTo>
              <a:lnTo>
                <a:pt x="0" y="476250"/>
              </a:lnTo>
              <a:cubicBezTo>
                <a:pt x="10145" y="567562"/>
                <a:pt x="-585" y="482263"/>
                <a:pt x="9525" y="542925"/>
              </a:cubicBezTo>
              <a:cubicBezTo>
                <a:pt x="11370" y="553997"/>
                <a:pt x="8338" y="566743"/>
                <a:pt x="14287" y="576262"/>
              </a:cubicBezTo>
              <a:cubicBezTo>
                <a:pt x="17756" y="581813"/>
                <a:pt x="26897" y="579854"/>
                <a:pt x="33337" y="581025"/>
              </a:cubicBezTo>
              <a:cubicBezTo>
                <a:pt x="44381" y="583033"/>
                <a:pt x="55562" y="584200"/>
                <a:pt x="66675" y="585787"/>
              </a:cubicBezTo>
              <a:cubicBezTo>
                <a:pt x="82550" y="584200"/>
                <a:pt x="98486" y="583134"/>
                <a:pt x="114300" y="581025"/>
              </a:cubicBezTo>
              <a:cubicBezTo>
                <a:pt x="122324" y="579955"/>
                <a:pt x="131084" y="580278"/>
                <a:pt x="138112" y="576262"/>
              </a:cubicBezTo>
              <a:cubicBezTo>
                <a:pt x="143082" y="573422"/>
                <a:pt x="143973" y="566372"/>
                <a:pt x="147637" y="561975"/>
              </a:cubicBezTo>
              <a:cubicBezTo>
                <a:pt x="161627" y="545187"/>
                <a:pt x="170585" y="541914"/>
                <a:pt x="190500" y="528637"/>
              </a:cubicBezTo>
              <a:cubicBezTo>
                <a:pt x="195262" y="525462"/>
                <a:pt x="199121" y="519921"/>
                <a:pt x="204787" y="519112"/>
              </a:cubicBezTo>
              <a:lnTo>
                <a:pt x="238125" y="514350"/>
              </a:lnTo>
              <a:cubicBezTo>
                <a:pt x="247669" y="512882"/>
                <a:pt x="257118" y="510785"/>
                <a:pt x="266700" y="509587"/>
              </a:cubicBezTo>
              <a:cubicBezTo>
                <a:pt x="282531" y="507608"/>
                <a:pt x="298480" y="506689"/>
                <a:pt x="314325" y="504825"/>
              </a:cubicBezTo>
              <a:cubicBezTo>
                <a:pt x="325473" y="503513"/>
                <a:pt x="336514" y="501374"/>
                <a:pt x="347662" y="500062"/>
              </a:cubicBezTo>
              <a:cubicBezTo>
                <a:pt x="425269" y="490932"/>
                <a:pt x="368465" y="499441"/>
                <a:pt x="461962" y="490537"/>
              </a:cubicBezTo>
              <a:cubicBezTo>
                <a:pt x="479990" y="488820"/>
                <a:pt x="497115" y="486183"/>
                <a:pt x="514350" y="481012"/>
              </a:cubicBezTo>
              <a:cubicBezTo>
                <a:pt x="523967" y="478127"/>
                <a:pt x="533400" y="474662"/>
                <a:pt x="542925" y="471487"/>
              </a:cubicBezTo>
              <a:lnTo>
                <a:pt x="557212" y="466725"/>
              </a:lnTo>
              <a:cubicBezTo>
                <a:pt x="561975" y="465137"/>
                <a:pt x="566485" y="462190"/>
                <a:pt x="571500" y="461962"/>
              </a:cubicBezTo>
              <a:lnTo>
                <a:pt x="676275" y="457200"/>
              </a:lnTo>
              <a:cubicBezTo>
                <a:pt x="681037" y="455612"/>
                <a:pt x="685992" y="454514"/>
                <a:pt x="690562" y="452437"/>
              </a:cubicBezTo>
              <a:cubicBezTo>
                <a:pt x="703488" y="446561"/>
                <a:pt x="715191" y="437877"/>
                <a:pt x="728662" y="433387"/>
              </a:cubicBezTo>
              <a:cubicBezTo>
                <a:pt x="733425" y="431800"/>
                <a:pt x="738336" y="430602"/>
                <a:pt x="742950" y="428625"/>
              </a:cubicBezTo>
              <a:cubicBezTo>
                <a:pt x="749476" y="425828"/>
                <a:pt x="755353" y="421593"/>
                <a:pt x="762000" y="419100"/>
              </a:cubicBezTo>
              <a:cubicBezTo>
                <a:pt x="780836" y="412036"/>
                <a:pt x="812784" y="411164"/>
                <a:pt x="828675" y="409575"/>
              </a:cubicBezTo>
              <a:lnTo>
                <a:pt x="857250" y="390525"/>
              </a:lnTo>
              <a:lnTo>
                <a:pt x="871537" y="381000"/>
              </a:lnTo>
              <a:cubicBezTo>
                <a:pt x="874712" y="376237"/>
                <a:pt x="878807" y="371973"/>
                <a:pt x="881062" y="366712"/>
              </a:cubicBezTo>
              <a:cubicBezTo>
                <a:pt x="883640" y="360696"/>
                <a:pt x="882194" y="353108"/>
                <a:pt x="885825" y="347662"/>
              </a:cubicBezTo>
              <a:cubicBezTo>
                <a:pt x="889000" y="342900"/>
                <a:pt x="895350" y="341312"/>
                <a:pt x="900112" y="338137"/>
              </a:cubicBezTo>
              <a:lnTo>
                <a:pt x="928687" y="295275"/>
              </a:lnTo>
              <a:cubicBezTo>
                <a:pt x="931472" y="291098"/>
                <a:pt x="931012" y="285376"/>
                <a:pt x="933450" y="280987"/>
              </a:cubicBezTo>
              <a:cubicBezTo>
                <a:pt x="939009" y="270980"/>
                <a:pt x="952500" y="252412"/>
                <a:pt x="952500" y="252412"/>
              </a:cubicBezTo>
              <a:lnTo>
                <a:pt x="962025" y="223837"/>
              </a:lnTo>
              <a:cubicBezTo>
                <a:pt x="965645" y="212977"/>
                <a:pt x="981075" y="195262"/>
                <a:pt x="981075" y="195262"/>
              </a:cubicBezTo>
              <a:cubicBezTo>
                <a:pt x="976312" y="192087"/>
                <a:pt x="971907" y="188297"/>
                <a:pt x="966787" y="185737"/>
              </a:cubicBezTo>
              <a:cubicBezTo>
                <a:pt x="962297" y="183492"/>
                <a:pt x="956677" y="183760"/>
                <a:pt x="952500" y="180975"/>
              </a:cubicBezTo>
              <a:cubicBezTo>
                <a:pt x="946896" y="177239"/>
                <a:pt x="942975" y="171450"/>
                <a:pt x="938212" y="166687"/>
              </a:cubicBezTo>
              <a:cubicBezTo>
                <a:pt x="936625" y="155575"/>
                <a:pt x="935458" y="144394"/>
                <a:pt x="933450" y="133350"/>
              </a:cubicBezTo>
              <a:cubicBezTo>
                <a:pt x="930572" y="117520"/>
                <a:pt x="924130" y="100629"/>
                <a:pt x="919162" y="85725"/>
              </a:cubicBezTo>
              <a:cubicBezTo>
                <a:pt x="917352" y="80295"/>
                <a:pt x="912812" y="76200"/>
                <a:pt x="909637" y="71437"/>
              </a:cubicBezTo>
              <a:cubicBezTo>
                <a:pt x="901980" y="48466"/>
                <a:pt x="906369" y="42141"/>
                <a:pt x="885825" y="33337"/>
              </a:cubicBezTo>
              <a:cubicBezTo>
                <a:pt x="879809" y="30759"/>
                <a:pt x="873125" y="30162"/>
                <a:pt x="866775" y="28575"/>
              </a:cubicBezTo>
              <a:lnTo>
                <a:pt x="838200" y="9525"/>
              </a:lnTo>
              <a:lnTo>
                <a:pt x="823912" y="0"/>
              </a:lnTo>
              <a:cubicBezTo>
                <a:pt x="819150" y="1587"/>
                <a:pt x="813545" y="1626"/>
                <a:pt x="809625" y="4762"/>
              </a:cubicBezTo>
              <a:cubicBezTo>
                <a:pt x="805155" y="8338"/>
                <a:pt x="804147" y="15003"/>
                <a:pt x="800100" y="19050"/>
              </a:cubicBezTo>
              <a:cubicBezTo>
                <a:pt x="796053" y="23097"/>
                <a:pt x="790575" y="25400"/>
                <a:pt x="785812" y="28575"/>
              </a:cubicBezTo>
              <a:cubicBezTo>
                <a:pt x="739775" y="26987"/>
                <a:pt x="693564" y="28112"/>
                <a:pt x="647700" y="23812"/>
              </a:cubicBezTo>
              <a:cubicBezTo>
                <a:pt x="642001" y="23278"/>
                <a:pt x="638532" y="16847"/>
                <a:pt x="633412" y="14287"/>
              </a:cubicBezTo>
              <a:cubicBezTo>
                <a:pt x="621690" y="8426"/>
                <a:pt x="601521" y="6591"/>
                <a:pt x="590550" y="4762"/>
              </a:cubicBezTo>
              <a:cubicBezTo>
                <a:pt x="585787" y="6350"/>
                <a:pt x="578753" y="5166"/>
                <a:pt x="576262" y="9525"/>
              </a:cubicBezTo>
              <a:cubicBezTo>
                <a:pt x="571471" y="17909"/>
                <a:pt x="573595" y="28674"/>
                <a:pt x="571500" y="38100"/>
              </a:cubicBezTo>
              <a:cubicBezTo>
                <a:pt x="570411" y="43000"/>
                <a:pt x="570287" y="48837"/>
                <a:pt x="566737" y="52387"/>
              </a:cubicBezTo>
              <a:cubicBezTo>
                <a:pt x="561717" y="57407"/>
                <a:pt x="554037" y="58737"/>
                <a:pt x="547687" y="61912"/>
              </a:cubicBezTo>
              <a:cubicBezTo>
                <a:pt x="544512" y="66675"/>
                <a:pt x="542632" y="72624"/>
                <a:pt x="538162" y="76200"/>
              </a:cubicBezTo>
              <a:cubicBezTo>
                <a:pt x="534242" y="79336"/>
                <a:pt x="528365" y="78717"/>
                <a:pt x="523875" y="80962"/>
              </a:cubicBezTo>
              <a:cubicBezTo>
                <a:pt x="518755" y="83522"/>
                <a:pt x="514707" y="87927"/>
                <a:pt x="509587" y="90487"/>
              </a:cubicBezTo>
              <a:cubicBezTo>
                <a:pt x="470151" y="110206"/>
                <a:pt x="521961" y="77477"/>
                <a:pt x="481012" y="104775"/>
              </a:cubicBezTo>
              <a:cubicBezTo>
                <a:pt x="477837" y="109537"/>
                <a:pt x="475151" y="114665"/>
                <a:pt x="471487" y="119062"/>
              </a:cubicBezTo>
              <a:cubicBezTo>
                <a:pt x="467175" y="124236"/>
                <a:pt x="460936" y="127746"/>
                <a:pt x="457200" y="133350"/>
              </a:cubicBezTo>
              <a:cubicBezTo>
                <a:pt x="454415" y="137527"/>
                <a:pt x="454682" y="143147"/>
                <a:pt x="452437" y="147637"/>
              </a:cubicBezTo>
              <a:cubicBezTo>
                <a:pt x="449877" y="152757"/>
                <a:pt x="446087" y="157162"/>
                <a:pt x="442912" y="161925"/>
              </a:cubicBezTo>
              <a:cubicBezTo>
                <a:pt x="437479" y="178225"/>
                <a:pt x="430164" y="208524"/>
                <a:pt x="414337" y="219075"/>
              </a:cubicBezTo>
              <a:lnTo>
                <a:pt x="385762" y="238125"/>
              </a:lnTo>
              <a:cubicBezTo>
                <a:pt x="381000" y="234950"/>
                <a:pt x="377154" y="229310"/>
                <a:pt x="371475" y="228600"/>
              </a:cubicBezTo>
              <a:cubicBezTo>
                <a:pt x="341741" y="224883"/>
                <a:pt x="352370" y="233416"/>
                <a:pt x="338137" y="247650"/>
              </a:cubicBezTo>
              <a:cubicBezTo>
                <a:pt x="334090" y="251697"/>
                <a:pt x="328969" y="254615"/>
                <a:pt x="323850" y="257175"/>
              </a:cubicBezTo>
              <a:cubicBezTo>
                <a:pt x="319360" y="259420"/>
                <a:pt x="314052" y="259692"/>
                <a:pt x="309562" y="261937"/>
              </a:cubicBezTo>
              <a:cubicBezTo>
                <a:pt x="285385" y="274025"/>
                <a:pt x="289640" y="276574"/>
                <a:pt x="266700" y="285750"/>
              </a:cubicBezTo>
              <a:cubicBezTo>
                <a:pt x="257378" y="289479"/>
                <a:pt x="246479" y="289706"/>
                <a:pt x="238125" y="295275"/>
              </a:cubicBezTo>
              <a:cubicBezTo>
                <a:pt x="233362" y="298450"/>
                <a:pt x="229098" y="302545"/>
                <a:pt x="223837" y="304800"/>
              </a:cubicBezTo>
              <a:cubicBezTo>
                <a:pt x="206849" y="312080"/>
                <a:pt x="160211" y="313615"/>
                <a:pt x="152400" y="314325"/>
              </a:cubicBezTo>
              <a:cubicBezTo>
                <a:pt x="150812" y="319087"/>
                <a:pt x="150075" y="324224"/>
                <a:pt x="147637" y="328612"/>
              </a:cubicBezTo>
              <a:cubicBezTo>
                <a:pt x="142077" y="338619"/>
                <a:pt x="128587" y="357187"/>
                <a:pt x="128587" y="357187"/>
              </a:cubicBezTo>
              <a:cubicBezTo>
                <a:pt x="112571" y="405243"/>
                <a:pt x="137018" y="330674"/>
                <a:pt x="119062" y="390525"/>
              </a:cubicBezTo>
              <a:cubicBezTo>
                <a:pt x="116177" y="400142"/>
                <a:pt x="112712" y="409575"/>
                <a:pt x="109537" y="419100"/>
              </a:cubicBezTo>
              <a:cubicBezTo>
                <a:pt x="107727" y="424530"/>
                <a:pt x="103187" y="428625"/>
                <a:pt x="100012" y="433387"/>
              </a:cubicBezTo>
              <a:cubicBezTo>
                <a:pt x="98425" y="438150"/>
                <a:pt x="97495" y="443185"/>
                <a:pt x="95250" y="447675"/>
              </a:cubicBezTo>
              <a:cubicBezTo>
                <a:pt x="89899" y="458378"/>
                <a:pt x="80464" y="468727"/>
                <a:pt x="71437" y="476250"/>
              </a:cubicBezTo>
              <a:cubicBezTo>
                <a:pt x="67040" y="479914"/>
                <a:pt x="62380" y="483450"/>
                <a:pt x="57150" y="485775"/>
              </a:cubicBezTo>
              <a:cubicBezTo>
                <a:pt x="47975" y="489853"/>
                <a:pt x="38100" y="492125"/>
                <a:pt x="28575" y="495300"/>
              </a:cubicBezTo>
              <a:cubicBezTo>
                <a:pt x="22551" y="497308"/>
                <a:pt x="4762" y="479425"/>
                <a:pt x="0" y="4762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228944</xdr:colOff>
      <xdr:row>93</xdr:row>
      <xdr:rowOff>164073</xdr:rowOff>
    </xdr:from>
    <xdr:to>
      <xdr:col>13</xdr:col>
      <xdr:colOff>202216</xdr:colOff>
      <xdr:row>97</xdr:row>
      <xdr:rowOff>126440</xdr:rowOff>
    </xdr:to>
    <xdr:sp macro="" textlink="">
      <xdr:nvSpPr>
        <xdr:cNvPr id="49" name="North_Carolina"/>
        <xdr:cNvSpPr/>
      </xdr:nvSpPr>
      <xdr:spPr>
        <a:xfrm>
          <a:off x="6439244" y="15658073"/>
          <a:ext cx="1192472" cy="622767"/>
        </a:xfrm>
        <a:custGeom>
          <a:avLst/>
          <a:gdLst>
            <a:gd name="connsiteX0" fmla="*/ 306087 w 1201437"/>
            <a:gd name="connsiteY0" fmla="*/ 257175 h 642937"/>
            <a:gd name="connsiteX1" fmla="*/ 306087 w 1201437"/>
            <a:gd name="connsiteY1" fmla="*/ 257175 h 642937"/>
            <a:gd name="connsiteX2" fmla="*/ 296562 w 1201437"/>
            <a:gd name="connsiteY2" fmla="*/ 300037 h 642937"/>
            <a:gd name="connsiteX3" fmla="*/ 287037 w 1201437"/>
            <a:gd name="connsiteY3" fmla="*/ 328612 h 642937"/>
            <a:gd name="connsiteX4" fmla="*/ 253699 w 1201437"/>
            <a:gd name="connsiteY4" fmla="*/ 347662 h 642937"/>
            <a:gd name="connsiteX5" fmla="*/ 239412 w 1201437"/>
            <a:gd name="connsiteY5" fmla="*/ 357187 h 642937"/>
            <a:gd name="connsiteX6" fmla="*/ 225124 w 1201437"/>
            <a:gd name="connsiteY6" fmla="*/ 361950 h 642937"/>
            <a:gd name="connsiteX7" fmla="*/ 196549 w 1201437"/>
            <a:gd name="connsiteY7" fmla="*/ 381000 h 642937"/>
            <a:gd name="connsiteX8" fmla="*/ 177499 w 1201437"/>
            <a:gd name="connsiteY8" fmla="*/ 404812 h 642937"/>
            <a:gd name="connsiteX9" fmla="*/ 148924 w 1201437"/>
            <a:gd name="connsiteY9" fmla="*/ 433387 h 642937"/>
            <a:gd name="connsiteX10" fmla="*/ 120349 w 1201437"/>
            <a:gd name="connsiteY10" fmla="*/ 452437 h 642937"/>
            <a:gd name="connsiteX11" fmla="*/ 106062 w 1201437"/>
            <a:gd name="connsiteY11" fmla="*/ 466725 h 642937"/>
            <a:gd name="connsiteX12" fmla="*/ 91774 w 1201437"/>
            <a:gd name="connsiteY12" fmla="*/ 485775 h 642937"/>
            <a:gd name="connsiteX13" fmla="*/ 77487 w 1201437"/>
            <a:gd name="connsiteY13" fmla="*/ 495300 h 642937"/>
            <a:gd name="connsiteX14" fmla="*/ 53674 w 1201437"/>
            <a:gd name="connsiteY14" fmla="*/ 523875 h 642937"/>
            <a:gd name="connsiteX15" fmla="*/ 44149 w 1201437"/>
            <a:gd name="connsiteY15" fmla="*/ 538162 h 642937"/>
            <a:gd name="connsiteX16" fmla="*/ 29862 w 1201437"/>
            <a:gd name="connsiteY16" fmla="*/ 542925 h 642937"/>
            <a:gd name="connsiteX17" fmla="*/ 15574 w 1201437"/>
            <a:gd name="connsiteY17" fmla="*/ 552450 h 642937"/>
            <a:gd name="connsiteX18" fmla="*/ 6049 w 1201437"/>
            <a:gd name="connsiteY18" fmla="*/ 581025 h 642937"/>
            <a:gd name="connsiteX19" fmla="*/ 1287 w 1201437"/>
            <a:gd name="connsiteY19" fmla="*/ 642937 h 642937"/>
            <a:gd name="connsiteX20" fmla="*/ 458487 w 1201437"/>
            <a:gd name="connsiteY20" fmla="*/ 481012 h 642937"/>
            <a:gd name="connsiteX21" fmla="*/ 525162 w 1201437"/>
            <a:gd name="connsiteY21" fmla="*/ 523875 h 642937"/>
            <a:gd name="connsiteX22" fmla="*/ 682324 w 1201437"/>
            <a:gd name="connsiteY22" fmla="*/ 485775 h 642937"/>
            <a:gd name="connsiteX23" fmla="*/ 882349 w 1201437"/>
            <a:gd name="connsiteY23" fmla="*/ 614362 h 642937"/>
            <a:gd name="connsiteX24" fmla="*/ 929974 w 1201437"/>
            <a:gd name="connsiteY24" fmla="*/ 576262 h 642937"/>
            <a:gd name="connsiteX25" fmla="*/ 949024 w 1201437"/>
            <a:gd name="connsiteY25" fmla="*/ 547687 h 642937"/>
            <a:gd name="connsiteX26" fmla="*/ 958549 w 1201437"/>
            <a:gd name="connsiteY26" fmla="*/ 533400 h 642937"/>
            <a:gd name="connsiteX27" fmla="*/ 972837 w 1201437"/>
            <a:gd name="connsiteY27" fmla="*/ 485775 h 642937"/>
            <a:gd name="connsiteX28" fmla="*/ 982362 w 1201437"/>
            <a:gd name="connsiteY28" fmla="*/ 471487 h 642937"/>
            <a:gd name="connsiteX29" fmla="*/ 996649 w 1201437"/>
            <a:gd name="connsiteY29" fmla="*/ 438150 h 642937"/>
            <a:gd name="connsiteX30" fmla="*/ 1006174 w 1201437"/>
            <a:gd name="connsiteY30" fmla="*/ 404812 h 642937"/>
            <a:gd name="connsiteX31" fmla="*/ 1029987 w 1201437"/>
            <a:gd name="connsiteY31" fmla="*/ 376237 h 642937"/>
            <a:gd name="connsiteX32" fmla="*/ 1044274 w 1201437"/>
            <a:gd name="connsiteY32" fmla="*/ 371475 h 642937"/>
            <a:gd name="connsiteX33" fmla="*/ 1072849 w 1201437"/>
            <a:gd name="connsiteY33" fmla="*/ 352425 h 642937"/>
            <a:gd name="connsiteX34" fmla="*/ 1087137 w 1201437"/>
            <a:gd name="connsiteY34" fmla="*/ 347662 h 642937"/>
            <a:gd name="connsiteX35" fmla="*/ 1115712 w 1201437"/>
            <a:gd name="connsiteY35" fmla="*/ 333375 h 642937"/>
            <a:gd name="connsiteX36" fmla="*/ 1158574 w 1201437"/>
            <a:gd name="connsiteY36" fmla="*/ 328612 h 642937"/>
            <a:gd name="connsiteX37" fmla="*/ 1168099 w 1201437"/>
            <a:gd name="connsiteY37" fmla="*/ 314325 h 642937"/>
            <a:gd name="connsiteX38" fmla="*/ 1120474 w 1201437"/>
            <a:gd name="connsiteY38" fmla="*/ 309562 h 642937"/>
            <a:gd name="connsiteX39" fmla="*/ 1106187 w 1201437"/>
            <a:gd name="connsiteY39" fmla="*/ 304800 h 642937"/>
            <a:gd name="connsiteX40" fmla="*/ 1106187 w 1201437"/>
            <a:gd name="connsiteY40" fmla="*/ 228600 h 642937"/>
            <a:gd name="connsiteX41" fmla="*/ 1125237 w 1201437"/>
            <a:gd name="connsiteY41" fmla="*/ 223837 h 642937"/>
            <a:gd name="connsiteX42" fmla="*/ 1139524 w 1201437"/>
            <a:gd name="connsiteY42" fmla="*/ 219075 h 642937"/>
            <a:gd name="connsiteX43" fmla="*/ 1182387 w 1201437"/>
            <a:gd name="connsiteY43" fmla="*/ 223837 h 642937"/>
            <a:gd name="connsiteX44" fmla="*/ 1191912 w 1201437"/>
            <a:gd name="connsiteY44" fmla="*/ 185737 h 642937"/>
            <a:gd name="connsiteX45" fmla="*/ 1196674 w 1201437"/>
            <a:gd name="connsiteY45" fmla="*/ 171450 h 642937"/>
            <a:gd name="connsiteX46" fmla="*/ 1201437 w 1201437"/>
            <a:gd name="connsiteY46" fmla="*/ 152400 h 642937"/>
            <a:gd name="connsiteX47" fmla="*/ 1163337 w 1201437"/>
            <a:gd name="connsiteY47" fmla="*/ 104775 h 642937"/>
            <a:gd name="connsiteX48" fmla="*/ 1149049 w 1201437"/>
            <a:gd name="connsiteY48" fmla="*/ 114300 h 642937"/>
            <a:gd name="connsiteX49" fmla="*/ 1053799 w 1201437"/>
            <a:gd name="connsiteY49" fmla="*/ 109537 h 642937"/>
            <a:gd name="connsiteX50" fmla="*/ 1058562 w 1201437"/>
            <a:gd name="connsiteY50" fmla="*/ 90487 h 642937"/>
            <a:gd name="connsiteX51" fmla="*/ 1106187 w 1201437"/>
            <a:gd name="connsiteY51" fmla="*/ 85725 h 642937"/>
            <a:gd name="connsiteX52" fmla="*/ 1134762 w 1201437"/>
            <a:gd name="connsiteY52" fmla="*/ 61912 h 642937"/>
            <a:gd name="connsiteX53" fmla="*/ 1144287 w 1201437"/>
            <a:gd name="connsiteY53" fmla="*/ 47625 h 642937"/>
            <a:gd name="connsiteX54" fmla="*/ 1172862 w 1201437"/>
            <a:gd name="connsiteY54" fmla="*/ 19050 h 642937"/>
            <a:gd name="connsiteX55" fmla="*/ 1158574 w 1201437"/>
            <a:gd name="connsiteY55" fmla="*/ 9525 h 642937"/>
            <a:gd name="connsiteX56" fmla="*/ 1139524 w 1201437"/>
            <a:gd name="connsiteY56" fmla="*/ 0 h 642937"/>
            <a:gd name="connsiteX57" fmla="*/ 306087 w 1201437"/>
            <a:gd name="connsiteY57" fmla="*/ 257175 h 6429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Lst>
          <a:rect l="l" t="t" r="r" b="b"/>
          <a:pathLst>
            <a:path w="1201437" h="642937">
              <a:moveTo>
                <a:pt x="306087" y="257175"/>
              </a:moveTo>
              <a:lnTo>
                <a:pt x="306087" y="257175"/>
              </a:lnTo>
              <a:cubicBezTo>
                <a:pt x="302912" y="271462"/>
                <a:pt x="300333" y="285895"/>
                <a:pt x="296562" y="300037"/>
              </a:cubicBezTo>
              <a:cubicBezTo>
                <a:pt x="293975" y="309738"/>
                <a:pt x="295391" y="323043"/>
                <a:pt x="287037" y="328612"/>
              </a:cubicBezTo>
              <a:cubicBezTo>
                <a:pt x="252220" y="351822"/>
                <a:pt x="296004" y="323487"/>
                <a:pt x="253699" y="347662"/>
              </a:cubicBezTo>
              <a:cubicBezTo>
                <a:pt x="248729" y="350502"/>
                <a:pt x="244531" y="354627"/>
                <a:pt x="239412" y="357187"/>
              </a:cubicBezTo>
              <a:cubicBezTo>
                <a:pt x="234922" y="359432"/>
                <a:pt x="229513" y="359512"/>
                <a:pt x="225124" y="361950"/>
              </a:cubicBezTo>
              <a:cubicBezTo>
                <a:pt x="215117" y="367509"/>
                <a:pt x="196549" y="381000"/>
                <a:pt x="196549" y="381000"/>
              </a:cubicBezTo>
              <a:cubicBezTo>
                <a:pt x="188273" y="405831"/>
                <a:pt x="197907" y="386671"/>
                <a:pt x="177499" y="404812"/>
              </a:cubicBezTo>
              <a:cubicBezTo>
                <a:pt x="167431" y="413761"/>
                <a:pt x="158449" y="423862"/>
                <a:pt x="148924" y="433387"/>
              </a:cubicBezTo>
              <a:cubicBezTo>
                <a:pt x="140829" y="441482"/>
                <a:pt x="128443" y="444342"/>
                <a:pt x="120349" y="452437"/>
              </a:cubicBezTo>
              <a:cubicBezTo>
                <a:pt x="115587" y="457200"/>
                <a:pt x="110445" y="461611"/>
                <a:pt x="106062" y="466725"/>
              </a:cubicBezTo>
              <a:cubicBezTo>
                <a:pt x="100896" y="472752"/>
                <a:pt x="97387" y="480162"/>
                <a:pt x="91774" y="485775"/>
              </a:cubicBezTo>
              <a:cubicBezTo>
                <a:pt x="87727" y="489822"/>
                <a:pt x="82249" y="492125"/>
                <a:pt x="77487" y="495300"/>
              </a:cubicBezTo>
              <a:cubicBezTo>
                <a:pt x="53839" y="530771"/>
                <a:pt x="84232" y="487206"/>
                <a:pt x="53674" y="523875"/>
              </a:cubicBezTo>
              <a:cubicBezTo>
                <a:pt x="50010" y="528272"/>
                <a:pt x="48618" y="534586"/>
                <a:pt x="44149" y="538162"/>
              </a:cubicBezTo>
              <a:cubicBezTo>
                <a:pt x="40229" y="541298"/>
                <a:pt x="34352" y="540680"/>
                <a:pt x="29862" y="542925"/>
              </a:cubicBezTo>
              <a:cubicBezTo>
                <a:pt x="24742" y="545485"/>
                <a:pt x="20337" y="549275"/>
                <a:pt x="15574" y="552450"/>
              </a:cubicBezTo>
              <a:lnTo>
                <a:pt x="6049" y="581025"/>
              </a:lnTo>
              <a:cubicBezTo>
                <a:pt x="-3733" y="610371"/>
                <a:pt x="1287" y="590296"/>
                <a:pt x="1287" y="642937"/>
              </a:cubicBezTo>
              <a:lnTo>
                <a:pt x="458487" y="481012"/>
              </a:lnTo>
              <a:lnTo>
                <a:pt x="525162" y="523875"/>
              </a:lnTo>
              <a:lnTo>
                <a:pt x="682324" y="485775"/>
              </a:lnTo>
              <a:lnTo>
                <a:pt x="882349" y="614362"/>
              </a:lnTo>
              <a:cubicBezTo>
                <a:pt x="896900" y="603969"/>
                <a:pt x="918000" y="591658"/>
                <a:pt x="929974" y="576262"/>
              </a:cubicBezTo>
              <a:cubicBezTo>
                <a:pt x="937002" y="567226"/>
                <a:pt x="942674" y="557212"/>
                <a:pt x="949024" y="547687"/>
              </a:cubicBezTo>
              <a:lnTo>
                <a:pt x="958549" y="533400"/>
              </a:lnTo>
              <a:cubicBezTo>
                <a:pt x="965747" y="504610"/>
                <a:pt x="961242" y="520560"/>
                <a:pt x="972837" y="485775"/>
              </a:cubicBezTo>
              <a:cubicBezTo>
                <a:pt x="974647" y="480345"/>
                <a:pt x="979187" y="476250"/>
                <a:pt x="982362" y="471487"/>
              </a:cubicBezTo>
              <a:cubicBezTo>
                <a:pt x="992272" y="431842"/>
                <a:pt x="980205" y="471037"/>
                <a:pt x="996649" y="438150"/>
              </a:cubicBezTo>
              <a:cubicBezTo>
                <a:pt x="1005922" y="419605"/>
                <a:pt x="997014" y="426186"/>
                <a:pt x="1006174" y="404812"/>
              </a:cubicBezTo>
              <a:cubicBezTo>
                <a:pt x="1009688" y="396613"/>
                <a:pt x="1023122" y="380814"/>
                <a:pt x="1029987" y="376237"/>
              </a:cubicBezTo>
              <a:cubicBezTo>
                <a:pt x="1034164" y="373452"/>
                <a:pt x="1039512" y="373062"/>
                <a:pt x="1044274" y="371475"/>
              </a:cubicBezTo>
              <a:cubicBezTo>
                <a:pt x="1053799" y="365125"/>
                <a:pt x="1061989" y="356045"/>
                <a:pt x="1072849" y="352425"/>
              </a:cubicBezTo>
              <a:cubicBezTo>
                <a:pt x="1077612" y="350837"/>
                <a:pt x="1082647" y="349907"/>
                <a:pt x="1087137" y="347662"/>
              </a:cubicBezTo>
              <a:cubicBezTo>
                <a:pt x="1103596" y="339432"/>
                <a:pt x="1097752" y="336368"/>
                <a:pt x="1115712" y="333375"/>
              </a:cubicBezTo>
              <a:cubicBezTo>
                <a:pt x="1129892" y="331012"/>
                <a:pt x="1144287" y="330200"/>
                <a:pt x="1158574" y="328612"/>
              </a:cubicBezTo>
              <a:cubicBezTo>
                <a:pt x="1161749" y="323850"/>
                <a:pt x="1173218" y="316885"/>
                <a:pt x="1168099" y="314325"/>
              </a:cubicBezTo>
              <a:cubicBezTo>
                <a:pt x="1153829" y="307190"/>
                <a:pt x="1136243" y="311988"/>
                <a:pt x="1120474" y="309562"/>
              </a:cubicBezTo>
              <a:cubicBezTo>
                <a:pt x="1115512" y="308799"/>
                <a:pt x="1110949" y="306387"/>
                <a:pt x="1106187" y="304800"/>
              </a:cubicBezTo>
              <a:cubicBezTo>
                <a:pt x="1088178" y="277785"/>
                <a:pt x="1084493" y="279220"/>
                <a:pt x="1106187" y="228600"/>
              </a:cubicBezTo>
              <a:cubicBezTo>
                <a:pt x="1108765" y="222584"/>
                <a:pt x="1118943" y="225635"/>
                <a:pt x="1125237" y="223837"/>
              </a:cubicBezTo>
              <a:cubicBezTo>
                <a:pt x="1130064" y="222458"/>
                <a:pt x="1134762" y="220662"/>
                <a:pt x="1139524" y="219075"/>
              </a:cubicBezTo>
              <a:cubicBezTo>
                <a:pt x="1172862" y="230188"/>
                <a:pt x="1158574" y="231775"/>
                <a:pt x="1182387" y="223837"/>
              </a:cubicBezTo>
              <a:cubicBezTo>
                <a:pt x="1193272" y="191179"/>
                <a:pt x="1180418" y="231713"/>
                <a:pt x="1191912" y="185737"/>
              </a:cubicBezTo>
              <a:cubicBezTo>
                <a:pt x="1193130" y="180867"/>
                <a:pt x="1195295" y="176277"/>
                <a:pt x="1196674" y="171450"/>
              </a:cubicBezTo>
              <a:cubicBezTo>
                <a:pt x="1198472" y="165156"/>
                <a:pt x="1199849" y="158750"/>
                <a:pt x="1201437" y="152400"/>
              </a:cubicBezTo>
              <a:cubicBezTo>
                <a:pt x="1196759" y="100946"/>
                <a:pt x="1213327" y="89777"/>
                <a:pt x="1163337" y="104775"/>
              </a:cubicBezTo>
              <a:cubicBezTo>
                <a:pt x="1157854" y="106420"/>
                <a:pt x="1153812" y="111125"/>
                <a:pt x="1149049" y="114300"/>
              </a:cubicBezTo>
              <a:lnTo>
                <a:pt x="1053799" y="109537"/>
              </a:lnTo>
              <a:cubicBezTo>
                <a:pt x="1047469" y="107871"/>
                <a:pt x="1052603" y="93195"/>
                <a:pt x="1058562" y="90487"/>
              </a:cubicBezTo>
              <a:cubicBezTo>
                <a:pt x="1073086" y="83885"/>
                <a:pt x="1090312" y="87312"/>
                <a:pt x="1106187" y="85725"/>
              </a:cubicBezTo>
              <a:cubicBezTo>
                <a:pt x="1120235" y="76359"/>
                <a:pt x="1123302" y="75663"/>
                <a:pt x="1134762" y="61912"/>
              </a:cubicBezTo>
              <a:cubicBezTo>
                <a:pt x="1138426" y="57515"/>
                <a:pt x="1140484" y="51903"/>
                <a:pt x="1144287" y="47625"/>
              </a:cubicBezTo>
              <a:cubicBezTo>
                <a:pt x="1153236" y="37557"/>
                <a:pt x="1172862" y="19050"/>
                <a:pt x="1172862" y="19050"/>
              </a:cubicBezTo>
              <a:cubicBezTo>
                <a:pt x="1168099" y="15875"/>
                <a:pt x="1163694" y="12085"/>
                <a:pt x="1158574" y="9525"/>
              </a:cubicBezTo>
              <a:cubicBezTo>
                <a:pt x="1136683" y="-1421"/>
                <a:pt x="1150285" y="10759"/>
                <a:pt x="1139524" y="0"/>
              </a:cubicBezTo>
              <a:lnTo>
                <a:pt x="306087" y="257175"/>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296757</xdr:colOff>
      <xdr:row>91</xdr:row>
      <xdr:rowOff>95063</xdr:rowOff>
    </xdr:from>
    <xdr:to>
      <xdr:col>13</xdr:col>
      <xdr:colOff>140303</xdr:colOff>
      <xdr:row>95</xdr:row>
      <xdr:rowOff>133631</xdr:rowOff>
    </xdr:to>
    <xdr:sp macro="" textlink="">
      <xdr:nvSpPr>
        <xdr:cNvPr id="50" name="Virginia"/>
        <xdr:cNvSpPr/>
      </xdr:nvSpPr>
      <xdr:spPr>
        <a:xfrm>
          <a:off x="6507057" y="15258863"/>
          <a:ext cx="1062746" cy="698968"/>
        </a:xfrm>
        <a:custGeom>
          <a:avLst/>
          <a:gdLst>
            <a:gd name="connsiteX0" fmla="*/ 138261 w 1071711"/>
            <a:gd name="connsiteY0" fmla="*/ 504825 h 719138"/>
            <a:gd name="connsiteX1" fmla="*/ 138261 w 1071711"/>
            <a:gd name="connsiteY1" fmla="*/ 504825 h 719138"/>
            <a:gd name="connsiteX2" fmla="*/ 128736 w 1071711"/>
            <a:gd name="connsiteY2" fmla="*/ 547688 h 719138"/>
            <a:gd name="connsiteX3" fmla="*/ 109686 w 1071711"/>
            <a:gd name="connsiteY3" fmla="*/ 576263 h 719138"/>
            <a:gd name="connsiteX4" fmla="*/ 71586 w 1071711"/>
            <a:gd name="connsiteY4" fmla="*/ 633413 h 719138"/>
            <a:gd name="connsiteX5" fmla="*/ 47774 w 1071711"/>
            <a:gd name="connsiteY5" fmla="*/ 657225 h 719138"/>
            <a:gd name="connsiteX6" fmla="*/ 19199 w 1071711"/>
            <a:gd name="connsiteY6" fmla="*/ 685800 h 719138"/>
            <a:gd name="connsiteX7" fmla="*/ 14436 w 1071711"/>
            <a:gd name="connsiteY7" fmla="*/ 700088 h 719138"/>
            <a:gd name="connsiteX8" fmla="*/ 149 w 1071711"/>
            <a:gd name="connsiteY8" fmla="*/ 719138 h 719138"/>
            <a:gd name="connsiteX9" fmla="*/ 252561 w 1071711"/>
            <a:gd name="connsiteY9" fmla="*/ 661988 h 719138"/>
            <a:gd name="connsiteX10" fmla="*/ 1071711 w 1071711"/>
            <a:gd name="connsiteY10" fmla="*/ 414338 h 719138"/>
            <a:gd name="connsiteX11" fmla="*/ 1066949 w 1071711"/>
            <a:gd name="connsiteY11" fmla="*/ 371475 h 719138"/>
            <a:gd name="connsiteX12" fmla="*/ 1052661 w 1071711"/>
            <a:gd name="connsiteY12" fmla="*/ 361950 h 719138"/>
            <a:gd name="connsiteX13" fmla="*/ 1024086 w 1071711"/>
            <a:gd name="connsiteY13" fmla="*/ 352425 h 719138"/>
            <a:gd name="connsiteX14" fmla="*/ 1005036 w 1071711"/>
            <a:gd name="connsiteY14" fmla="*/ 342900 h 719138"/>
            <a:gd name="connsiteX15" fmla="*/ 957411 w 1071711"/>
            <a:gd name="connsiteY15" fmla="*/ 328613 h 719138"/>
            <a:gd name="connsiteX16" fmla="*/ 943124 w 1071711"/>
            <a:gd name="connsiteY16" fmla="*/ 323850 h 719138"/>
            <a:gd name="connsiteX17" fmla="*/ 957411 w 1071711"/>
            <a:gd name="connsiteY17" fmla="*/ 295275 h 719138"/>
            <a:gd name="connsiteX18" fmla="*/ 952649 w 1071711"/>
            <a:gd name="connsiteY18" fmla="*/ 280988 h 719138"/>
            <a:gd name="connsiteX19" fmla="*/ 957411 w 1071711"/>
            <a:gd name="connsiteY19" fmla="*/ 266700 h 719138"/>
            <a:gd name="connsiteX20" fmla="*/ 971699 w 1071711"/>
            <a:gd name="connsiteY20" fmla="*/ 257175 h 719138"/>
            <a:gd name="connsiteX21" fmla="*/ 952649 w 1071711"/>
            <a:gd name="connsiteY21" fmla="*/ 247650 h 719138"/>
            <a:gd name="connsiteX22" fmla="*/ 924074 w 1071711"/>
            <a:gd name="connsiteY22" fmla="*/ 233363 h 719138"/>
            <a:gd name="connsiteX23" fmla="*/ 909786 w 1071711"/>
            <a:gd name="connsiteY23" fmla="*/ 219075 h 719138"/>
            <a:gd name="connsiteX24" fmla="*/ 905024 w 1071711"/>
            <a:gd name="connsiteY24" fmla="*/ 204788 h 719138"/>
            <a:gd name="connsiteX25" fmla="*/ 933599 w 1071711"/>
            <a:gd name="connsiteY25" fmla="*/ 209550 h 719138"/>
            <a:gd name="connsiteX26" fmla="*/ 957411 w 1071711"/>
            <a:gd name="connsiteY26" fmla="*/ 204788 h 719138"/>
            <a:gd name="connsiteX27" fmla="*/ 952649 w 1071711"/>
            <a:gd name="connsiteY27" fmla="*/ 180975 h 719138"/>
            <a:gd name="connsiteX28" fmla="*/ 938361 w 1071711"/>
            <a:gd name="connsiteY28" fmla="*/ 152400 h 719138"/>
            <a:gd name="connsiteX29" fmla="*/ 909786 w 1071711"/>
            <a:gd name="connsiteY29" fmla="*/ 138113 h 719138"/>
            <a:gd name="connsiteX30" fmla="*/ 847874 w 1071711"/>
            <a:gd name="connsiteY30" fmla="*/ 128588 h 719138"/>
            <a:gd name="connsiteX31" fmla="*/ 800249 w 1071711"/>
            <a:gd name="connsiteY31" fmla="*/ 95250 h 719138"/>
            <a:gd name="connsiteX32" fmla="*/ 805011 w 1071711"/>
            <a:gd name="connsiteY32" fmla="*/ 80963 h 719138"/>
            <a:gd name="connsiteX33" fmla="*/ 795486 w 1071711"/>
            <a:gd name="connsiteY33" fmla="*/ 47625 h 719138"/>
            <a:gd name="connsiteX34" fmla="*/ 781199 w 1071711"/>
            <a:gd name="connsiteY34" fmla="*/ 38100 h 719138"/>
            <a:gd name="connsiteX35" fmla="*/ 762149 w 1071711"/>
            <a:gd name="connsiteY35" fmla="*/ 33338 h 719138"/>
            <a:gd name="connsiteX36" fmla="*/ 747861 w 1071711"/>
            <a:gd name="connsiteY36" fmla="*/ 23813 h 719138"/>
            <a:gd name="connsiteX37" fmla="*/ 733574 w 1071711"/>
            <a:gd name="connsiteY37" fmla="*/ 19050 h 719138"/>
            <a:gd name="connsiteX38" fmla="*/ 709761 w 1071711"/>
            <a:gd name="connsiteY38" fmla="*/ 0 h 719138"/>
            <a:gd name="connsiteX39" fmla="*/ 704999 w 1071711"/>
            <a:gd name="connsiteY39" fmla="*/ 14288 h 719138"/>
            <a:gd name="connsiteX40" fmla="*/ 700236 w 1071711"/>
            <a:gd name="connsiteY40" fmla="*/ 33338 h 719138"/>
            <a:gd name="connsiteX41" fmla="*/ 681186 w 1071711"/>
            <a:gd name="connsiteY41" fmla="*/ 28575 h 719138"/>
            <a:gd name="connsiteX42" fmla="*/ 624036 w 1071711"/>
            <a:gd name="connsiteY42" fmla="*/ 38100 h 719138"/>
            <a:gd name="connsiteX43" fmla="*/ 609749 w 1071711"/>
            <a:gd name="connsiteY43" fmla="*/ 47625 h 719138"/>
            <a:gd name="connsiteX44" fmla="*/ 590699 w 1071711"/>
            <a:gd name="connsiteY44" fmla="*/ 104775 h 719138"/>
            <a:gd name="connsiteX45" fmla="*/ 581174 w 1071711"/>
            <a:gd name="connsiteY45" fmla="*/ 119063 h 719138"/>
            <a:gd name="connsiteX46" fmla="*/ 576411 w 1071711"/>
            <a:gd name="connsiteY46" fmla="*/ 133350 h 719138"/>
            <a:gd name="connsiteX47" fmla="*/ 562124 w 1071711"/>
            <a:gd name="connsiteY47" fmla="*/ 147638 h 719138"/>
            <a:gd name="connsiteX48" fmla="*/ 543074 w 1071711"/>
            <a:gd name="connsiteY48" fmla="*/ 190500 h 719138"/>
            <a:gd name="connsiteX49" fmla="*/ 528786 w 1071711"/>
            <a:gd name="connsiteY49" fmla="*/ 204788 h 719138"/>
            <a:gd name="connsiteX50" fmla="*/ 519261 w 1071711"/>
            <a:gd name="connsiteY50" fmla="*/ 219075 h 719138"/>
            <a:gd name="connsiteX51" fmla="*/ 504974 w 1071711"/>
            <a:gd name="connsiteY51" fmla="*/ 223838 h 719138"/>
            <a:gd name="connsiteX52" fmla="*/ 490686 w 1071711"/>
            <a:gd name="connsiteY52" fmla="*/ 233363 h 719138"/>
            <a:gd name="connsiteX53" fmla="*/ 471636 w 1071711"/>
            <a:gd name="connsiteY53" fmla="*/ 257175 h 719138"/>
            <a:gd name="connsiteX54" fmla="*/ 466874 w 1071711"/>
            <a:gd name="connsiteY54" fmla="*/ 271463 h 719138"/>
            <a:gd name="connsiteX55" fmla="*/ 457349 w 1071711"/>
            <a:gd name="connsiteY55" fmla="*/ 285750 h 719138"/>
            <a:gd name="connsiteX56" fmla="*/ 443061 w 1071711"/>
            <a:gd name="connsiteY56" fmla="*/ 314325 h 719138"/>
            <a:gd name="connsiteX57" fmla="*/ 419249 w 1071711"/>
            <a:gd name="connsiteY57" fmla="*/ 357188 h 719138"/>
            <a:gd name="connsiteX58" fmla="*/ 409724 w 1071711"/>
            <a:gd name="connsiteY58" fmla="*/ 385763 h 719138"/>
            <a:gd name="connsiteX59" fmla="*/ 404961 w 1071711"/>
            <a:gd name="connsiteY59" fmla="*/ 457200 h 719138"/>
            <a:gd name="connsiteX60" fmla="*/ 395436 w 1071711"/>
            <a:gd name="connsiteY60" fmla="*/ 471488 h 719138"/>
            <a:gd name="connsiteX61" fmla="*/ 366861 w 1071711"/>
            <a:gd name="connsiteY61" fmla="*/ 481013 h 719138"/>
            <a:gd name="connsiteX62" fmla="*/ 323999 w 1071711"/>
            <a:gd name="connsiteY62" fmla="*/ 500063 h 719138"/>
            <a:gd name="connsiteX63" fmla="*/ 295424 w 1071711"/>
            <a:gd name="connsiteY63" fmla="*/ 509588 h 719138"/>
            <a:gd name="connsiteX64" fmla="*/ 281136 w 1071711"/>
            <a:gd name="connsiteY64" fmla="*/ 514350 h 719138"/>
            <a:gd name="connsiteX65" fmla="*/ 262086 w 1071711"/>
            <a:gd name="connsiteY65" fmla="*/ 538163 h 719138"/>
            <a:gd name="connsiteX66" fmla="*/ 228749 w 1071711"/>
            <a:gd name="connsiteY66" fmla="*/ 552450 h 719138"/>
            <a:gd name="connsiteX67" fmla="*/ 190649 w 1071711"/>
            <a:gd name="connsiteY67" fmla="*/ 542925 h 719138"/>
            <a:gd name="connsiteX68" fmla="*/ 181124 w 1071711"/>
            <a:gd name="connsiteY68" fmla="*/ 528638 h 719138"/>
            <a:gd name="connsiteX69" fmla="*/ 138261 w 1071711"/>
            <a:gd name="connsiteY69" fmla="*/ 504825 h 719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Lst>
          <a:rect l="l" t="t" r="r" b="b"/>
          <a:pathLst>
            <a:path w="1071711" h="719138">
              <a:moveTo>
                <a:pt x="138261" y="504825"/>
              </a:moveTo>
              <a:lnTo>
                <a:pt x="138261" y="504825"/>
              </a:lnTo>
              <a:cubicBezTo>
                <a:pt x="135086" y="519113"/>
                <a:pt x="134172" y="534099"/>
                <a:pt x="128736" y="547688"/>
              </a:cubicBezTo>
              <a:cubicBezTo>
                <a:pt x="124484" y="558317"/>
                <a:pt x="116036" y="566738"/>
                <a:pt x="109686" y="576263"/>
              </a:cubicBezTo>
              <a:lnTo>
                <a:pt x="71586" y="633413"/>
              </a:lnTo>
              <a:cubicBezTo>
                <a:pt x="51960" y="662851"/>
                <a:pt x="73749" y="634136"/>
                <a:pt x="47774" y="657225"/>
              </a:cubicBezTo>
              <a:cubicBezTo>
                <a:pt x="37706" y="666174"/>
                <a:pt x="19199" y="685800"/>
                <a:pt x="19199" y="685800"/>
              </a:cubicBezTo>
              <a:cubicBezTo>
                <a:pt x="17611" y="690563"/>
                <a:pt x="17572" y="696168"/>
                <a:pt x="14436" y="700088"/>
              </a:cubicBezTo>
              <a:cubicBezTo>
                <a:pt x="-2493" y="721249"/>
                <a:pt x="149" y="698411"/>
                <a:pt x="149" y="719138"/>
              </a:cubicBezTo>
              <a:lnTo>
                <a:pt x="252561" y="661988"/>
              </a:lnTo>
              <a:lnTo>
                <a:pt x="1071711" y="414338"/>
              </a:lnTo>
              <a:cubicBezTo>
                <a:pt x="1070124" y="400050"/>
                <a:pt x="1071862" y="384985"/>
                <a:pt x="1066949" y="371475"/>
              </a:cubicBezTo>
              <a:cubicBezTo>
                <a:pt x="1064993" y="366096"/>
                <a:pt x="1057892" y="364275"/>
                <a:pt x="1052661" y="361950"/>
              </a:cubicBezTo>
              <a:cubicBezTo>
                <a:pt x="1043486" y="357872"/>
                <a:pt x="1033066" y="356915"/>
                <a:pt x="1024086" y="352425"/>
              </a:cubicBezTo>
              <a:cubicBezTo>
                <a:pt x="1017736" y="349250"/>
                <a:pt x="1011628" y="345537"/>
                <a:pt x="1005036" y="342900"/>
              </a:cubicBezTo>
              <a:cubicBezTo>
                <a:pt x="976730" y="331578"/>
                <a:pt x="981978" y="335632"/>
                <a:pt x="957411" y="328613"/>
              </a:cubicBezTo>
              <a:cubicBezTo>
                <a:pt x="952584" y="327234"/>
                <a:pt x="947886" y="325438"/>
                <a:pt x="943124" y="323850"/>
              </a:cubicBezTo>
              <a:cubicBezTo>
                <a:pt x="947941" y="316624"/>
                <a:pt x="957411" y="305136"/>
                <a:pt x="957411" y="295275"/>
              </a:cubicBezTo>
              <a:cubicBezTo>
                <a:pt x="957411" y="290255"/>
                <a:pt x="954236" y="285750"/>
                <a:pt x="952649" y="280988"/>
              </a:cubicBezTo>
              <a:cubicBezTo>
                <a:pt x="954236" y="276225"/>
                <a:pt x="954275" y="270620"/>
                <a:pt x="957411" y="266700"/>
              </a:cubicBezTo>
              <a:cubicBezTo>
                <a:pt x="960987" y="262230"/>
                <a:pt x="973087" y="262728"/>
                <a:pt x="971699" y="257175"/>
              </a:cubicBezTo>
              <a:cubicBezTo>
                <a:pt x="969977" y="250287"/>
                <a:pt x="958813" y="251172"/>
                <a:pt x="952649" y="247650"/>
              </a:cubicBezTo>
              <a:cubicBezTo>
                <a:pt x="926800" y="232879"/>
                <a:pt x="950267" y="242093"/>
                <a:pt x="924074" y="233363"/>
              </a:cubicBezTo>
              <a:cubicBezTo>
                <a:pt x="919311" y="228600"/>
                <a:pt x="913522" y="224679"/>
                <a:pt x="909786" y="219075"/>
              </a:cubicBezTo>
              <a:cubicBezTo>
                <a:pt x="907001" y="214898"/>
                <a:pt x="900363" y="206652"/>
                <a:pt x="905024" y="204788"/>
              </a:cubicBezTo>
              <a:cubicBezTo>
                <a:pt x="913990" y="201202"/>
                <a:pt x="924074" y="207963"/>
                <a:pt x="933599" y="209550"/>
              </a:cubicBezTo>
              <a:cubicBezTo>
                <a:pt x="941536" y="207963"/>
                <a:pt x="952921" y="211523"/>
                <a:pt x="957411" y="204788"/>
              </a:cubicBezTo>
              <a:cubicBezTo>
                <a:pt x="961901" y="198053"/>
                <a:pt x="954612" y="188828"/>
                <a:pt x="952649" y="180975"/>
              </a:cubicBezTo>
              <a:cubicBezTo>
                <a:pt x="950067" y="170647"/>
                <a:pt x="946119" y="160159"/>
                <a:pt x="938361" y="152400"/>
              </a:cubicBezTo>
              <a:cubicBezTo>
                <a:pt x="930600" y="144638"/>
                <a:pt x="920117" y="140696"/>
                <a:pt x="909786" y="138113"/>
              </a:cubicBezTo>
              <a:cubicBezTo>
                <a:pt x="887960" y="132656"/>
                <a:pt x="871022" y="131481"/>
                <a:pt x="847874" y="128588"/>
              </a:cubicBezTo>
              <a:cubicBezTo>
                <a:pt x="787132" y="134109"/>
                <a:pt x="790105" y="151041"/>
                <a:pt x="800249" y="95250"/>
              </a:cubicBezTo>
              <a:cubicBezTo>
                <a:pt x="801147" y="90311"/>
                <a:pt x="803424" y="85725"/>
                <a:pt x="805011" y="80963"/>
              </a:cubicBezTo>
              <a:cubicBezTo>
                <a:pt x="804699" y="79715"/>
                <a:pt x="797972" y="50732"/>
                <a:pt x="795486" y="47625"/>
              </a:cubicBezTo>
              <a:cubicBezTo>
                <a:pt x="791910" y="43156"/>
                <a:pt x="786460" y="40355"/>
                <a:pt x="781199" y="38100"/>
              </a:cubicBezTo>
              <a:cubicBezTo>
                <a:pt x="775183" y="35522"/>
                <a:pt x="768499" y="34925"/>
                <a:pt x="762149" y="33338"/>
              </a:cubicBezTo>
              <a:cubicBezTo>
                <a:pt x="757386" y="30163"/>
                <a:pt x="752981" y="26373"/>
                <a:pt x="747861" y="23813"/>
              </a:cubicBezTo>
              <a:cubicBezTo>
                <a:pt x="743371" y="21568"/>
                <a:pt x="737494" y="22186"/>
                <a:pt x="733574" y="19050"/>
              </a:cubicBezTo>
              <a:cubicBezTo>
                <a:pt x="702801" y="-5569"/>
                <a:pt x="745673" y="11972"/>
                <a:pt x="709761" y="0"/>
              </a:cubicBezTo>
              <a:cubicBezTo>
                <a:pt x="708174" y="4763"/>
                <a:pt x="706378" y="9461"/>
                <a:pt x="704999" y="14288"/>
              </a:cubicBezTo>
              <a:cubicBezTo>
                <a:pt x="703201" y="20582"/>
                <a:pt x="705849" y="29971"/>
                <a:pt x="700236" y="33338"/>
              </a:cubicBezTo>
              <a:cubicBezTo>
                <a:pt x="694623" y="36705"/>
                <a:pt x="687536" y="30163"/>
                <a:pt x="681186" y="28575"/>
              </a:cubicBezTo>
              <a:cubicBezTo>
                <a:pt x="676243" y="29281"/>
                <a:pt x="632602" y="34888"/>
                <a:pt x="624036" y="38100"/>
              </a:cubicBezTo>
              <a:cubicBezTo>
                <a:pt x="618677" y="40110"/>
                <a:pt x="614511" y="44450"/>
                <a:pt x="609749" y="47625"/>
              </a:cubicBezTo>
              <a:lnTo>
                <a:pt x="590699" y="104775"/>
              </a:lnTo>
              <a:cubicBezTo>
                <a:pt x="588889" y="110205"/>
                <a:pt x="583734" y="113943"/>
                <a:pt x="581174" y="119063"/>
              </a:cubicBezTo>
              <a:cubicBezTo>
                <a:pt x="578929" y="123553"/>
                <a:pt x="579196" y="129173"/>
                <a:pt x="576411" y="133350"/>
              </a:cubicBezTo>
              <a:cubicBezTo>
                <a:pt x="572675" y="138954"/>
                <a:pt x="566886" y="142875"/>
                <a:pt x="562124" y="147638"/>
              </a:cubicBezTo>
              <a:cubicBezTo>
                <a:pt x="555202" y="168405"/>
                <a:pt x="555653" y="175406"/>
                <a:pt x="543074" y="190500"/>
              </a:cubicBezTo>
              <a:cubicBezTo>
                <a:pt x="538762" y="195674"/>
                <a:pt x="533098" y="199614"/>
                <a:pt x="528786" y="204788"/>
              </a:cubicBezTo>
              <a:cubicBezTo>
                <a:pt x="525122" y="209185"/>
                <a:pt x="523730" y="215499"/>
                <a:pt x="519261" y="219075"/>
              </a:cubicBezTo>
              <a:cubicBezTo>
                <a:pt x="515341" y="222211"/>
                <a:pt x="509464" y="221593"/>
                <a:pt x="504974" y="223838"/>
              </a:cubicBezTo>
              <a:cubicBezTo>
                <a:pt x="499854" y="226398"/>
                <a:pt x="495449" y="230188"/>
                <a:pt x="490686" y="233363"/>
              </a:cubicBezTo>
              <a:cubicBezTo>
                <a:pt x="478716" y="269275"/>
                <a:pt x="496256" y="226400"/>
                <a:pt x="471636" y="257175"/>
              </a:cubicBezTo>
              <a:cubicBezTo>
                <a:pt x="468500" y="261095"/>
                <a:pt x="469119" y="266973"/>
                <a:pt x="466874" y="271463"/>
              </a:cubicBezTo>
              <a:cubicBezTo>
                <a:pt x="464314" y="276582"/>
                <a:pt x="459909" y="280631"/>
                <a:pt x="457349" y="285750"/>
              </a:cubicBezTo>
              <a:cubicBezTo>
                <a:pt x="437631" y="325184"/>
                <a:pt x="470357" y="273382"/>
                <a:pt x="443061" y="314325"/>
              </a:cubicBezTo>
              <a:cubicBezTo>
                <a:pt x="434679" y="339473"/>
                <a:pt x="441084" y="324436"/>
                <a:pt x="419249" y="357188"/>
              </a:cubicBezTo>
              <a:cubicBezTo>
                <a:pt x="413680" y="365542"/>
                <a:pt x="409724" y="385763"/>
                <a:pt x="409724" y="385763"/>
              </a:cubicBezTo>
              <a:cubicBezTo>
                <a:pt x="408136" y="409575"/>
                <a:pt x="408885" y="433660"/>
                <a:pt x="404961" y="457200"/>
              </a:cubicBezTo>
              <a:cubicBezTo>
                <a:pt x="404020" y="462846"/>
                <a:pt x="400290" y="468454"/>
                <a:pt x="395436" y="471488"/>
              </a:cubicBezTo>
              <a:cubicBezTo>
                <a:pt x="386922" y="476809"/>
                <a:pt x="375215" y="475444"/>
                <a:pt x="366861" y="481013"/>
              </a:cubicBezTo>
              <a:cubicBezTo>
                <a:pt x="344221" y="496107"/>
                <a:pt x="358002" y="488729"/>
                <a:pt x="323999" y="500063"/>
              </a:cubicBezTo>
              <a:lnTo>
                <a:pt x="295424" y="509588"/>
              </a:lnTo>
              <a:lnTo>
                <a:pt x="281136" y="514350"/>
              </a:lnTo>
              <a:cubicBezTo>
                <a:pt x="240193" y="541646"/>
                <a:pt x="288376" y="505300"/>
                <a:pt x="262086" y="538163"/>
              </a:cubicBezTo>
              <a:cubicBezTo>
                <a:pt x="253863" y="548442"/>
                <a:pt x="240189" y="549590"/>
                <a:pt x="228749" y="552450"/>
              </a:cubicBezTo>
              <a:cubicBezTo>
                <a:pt x="227559" y="552212"/>
                <a:pt x="195533" y="546832"/>
                <a:pt x="190649" y="542925"/>
              </a:cubicBezTo>
              <a:cubicBezTo>
                <a:pt x="186180" y="539349"/>
                <a:pt x="185171" y="532685"/>
                <a:pt x="181124" y="528638"/>
              </a:cubicBezTo>
              <a:cubicBezTo>
                <a:pt x="175378" y="522893"/>
                <a:pt x="145405" y="508794"/>
                <a:pt x="138261" y="504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368343</xdr:colOff>
      <xdr:row>91</xdr:row>
      <xdr:rowOff>47438</xdr:rowOff>
    </xdr:from>
    <xdr:to>
      <xdr:col>12</xdr:col>
      <xdr:colOff>378416</xdr:colOff>
      <xdr:row>94</xdr:row>
      <xdr:rowOff>132323</xdr:rowOff>
    </xdr:to>
    <xdr:sp macro="" textlink="">
      <xdr:nvSpPr>
        <xdr:cNvPr id="51" name="West_Virginia"/>
        <xdr:cNvSpPr/>
      </xdr:nvSpPr>
      <xdr:spPr>
        <a:xfrm>
          <a:off x="6578643" y="15211238"/>
          <a:ext cx="619673" cy="580185"/>
        </a:xfrm>
        <a:custGeom>
          <a:avLst/>
          <a:gdLst>
            <a:gd name="connsiteX0" fmla="*/ 190500 w 624156"/>
            <a:gd name="connsiteY0" fmla="*/ 0 h 595313"/>
            <a:gd name="connsiteX1" fmla="*/ 190500 w 624156"/>
            <a:gd name="connsiteY1" fmla="*/ 0 h 595313"/>
            <a:gd name="connsiteX2" fmla="*/ 185738 w 624156"/>
            <a:gd name="connsiteY2" fmla="*/ 47625 h 595313"/>
            <a:gd name="connsiteX3" fmla="*/ 176213 w 624156"/>
            <a:gd name="connsiteY3" fmla="*/ 76200 h 595313"/>
            <a:gd name="connsiteX4" fmla="*/ 171450 w 624156"/>
            <a:gd name="connsiteY4" fmla="*/ 90488 h 595313"/>
            <a:gd name="connsiteX5" fmla="*/ 166688 w 624156"/>
            <a:gd name="connsiteY5" fmla="*/ 104775 h 595313"/>
            <a:gd name="connsiteX6" fmla="*/ 147638 w 624156"/>
            <a:gd name="connsiteY6" fmla="*/ 133350 h 595313"/>
            <a:gd name="connsiteX7" fmla="*/ 119063 w 624156"/>
            <a:gd name="connsiteY7" fmla="*/ 152400 h 595313"/>
            <a:gd name="connsiteX8" fmla="*/ 104775 w 624156"/>
            <a:gd name="connsiteY8" fmla="*/ 161925 h 595313"/>
            <a:gd name="connsiteX9" fmla="*/ 90488 w 624156"/>
            <a:gd name="connsiteY9" fmla="*/ 242888 h 595313"/>
            <a:gd name="connsiteX10" fmla="*/ 66675 w 624156"/>
            <a:gd name="connsiteY10" fmla="*/ 271463 h 595313"/>
            <a:gd name="connsiteX11" fmla="*/ 42863 w 624156"/>
            <a:gd name="connsiteY11" fmla="*/ 300038 h 595313"/>
            <a:gd name="connsiteX12" fmla="*/ 28575 w 624156"/>
            <a:gd name="connsiteY12" fmla="*/ 328613 h 595313"/>
            <a:gd name="connsiteX13" fmla="*/ 19050 w 624156"/>
            <a:gd name="connsiteY13" fmla="*/ 357188 h 595313"/>
            <a:gd name="connsiteX14" fmla="*/ 14288 w 624156"/>
            <a:gd name="connsiteY14" fmla="*/ 371475 h 595313"/>
            <a:gd name="connsiteX15" fmla="*/ 0 w 624156"/>
            <a:gd name="connsiteY15" fmla="*/ 400050 h 595313"/>
            <a:gd name="connsiteX16" fmla="*/ 4763 w 624156"/>
            <a:gd name="connsiteY16" fmla="*/ 423863 h 595313"/>
            <a:gd name="connsiteX17" fmla="*/ 14288 w 624156"/>
            <a:gd name="connsiteY17" fmla="*/ 438150 h 595313"/>
            <a:gd name="connsiteX18" fmla="*/ 33338 w 624156"/>
            <a:gd name="connsiteY18" fmla="*/ 485775 h 595313"/>
            <a:gd name="connsiteX19" fmla="*/ 42863 w 624156"/>
            <a:gd name="connsiteY19" fmla="*/ 523875 h 595313"/>
            <a:gd name="connsiteX20" fmla="*/ 90488 w 624156"/>
            <a:gd name="connsiteY20" fmla="*/ 538163 h 595313"/>
            <a:gd name="connsiteX21" fmla="*/ 119063 w 624156"/>
            <a:gd name="connsiteY21" fmla="*/ 542925 h 595313"/>
            <a:gd name="connsiteX22" fmla="*/ 133350 w 624156"/>
            <a:gd name="connsiteY22" fmla="*/ 552450 h 595313"/>
            <a:gd name="connsiteX23" fmla="*/ 147638 w 624156"/>
            <a:gd name="connsiteY23" fmla="*/ 581025 h 595313"/>
            <a:gd name="connsiteX24" fmla="*/ 176213 w 624156"/>
            <a:gd name="connsiteY24" fmla="*/ 595313 h 595313"/>
            <a:gd name="connsiteX25" fmla="*/ 190500 w 624156"/>
            <a:gd name="connsiteY25" fmla="*/ 590550 h 595313"/>
            <a:gd name="connsiteX26" fmla="*/ 204788 w 624156"/>
            <a:gd name="connsiteY26" fmla="*/ 576263 h 595313"/>
            <a:gd name="connsiteX27" fmla="*/ 219075 w 624156"/>
            <a:gd name="connsiteY27" fmla="*/ 566738 h 595313"/>
            <a:gd name="connsiteX28" fmla="*/ 228600 w 624156"/>
            <a:gd name="connsiteY28" fmla="*/ 552450 h 595313"/>
            <a:gd name="connsiteX29" fmla="*/ 242888 w 624156"/>
            <a:gd name="connsiteY29" fmla="*/ 547688 h 595313"/>
            <a:gd name="connsiteX30" fmla="*/ 300038 w 624156"/>
            <a:gd name="connsiteY30" fmla="*/ 542925 h 595313"/>
            <a:gd name="connsiteX31" fmla="*/ 342900 w 624156"/>
            <a:gd name="connsiteY31" fmla="*/ 519113 h 595313"/>
            <a:gd name="connsiteX32" fmla="*/ 342900 w 624156"/>
            <a:gd name="connsiteY32" fmla="*/ 461963 h 595313"/>
            <a:gd name="connsiteX33" fmla="*/ 352425 w 624156"/>
            <a:gd name="connsiteY33" fmla="*/ 414338 h 595313"/>
            <a:gd name="connsiteX34" fmla="*/ 371475 w 624156"/>
            <a:gd name="connsiteY34" fmla="*/ 385763 h 595313"/>
            <a:gd name="connsiteX35" fmla="*/ 390525 w 624156"/>
            <a:gd name="connsiteY35" fmla="*/ 357188 h 595313"/>
            <a:gd name="connsiteX36" fmla="*/ 409575 w 624156"/>
            <a:gd name="connsiteY36" fmla="*/ 342900 h 595313"/>
            <a:gd name="connsiteX37" fmla="*/ 414338 w 624156"/>
            <a:gd name="connsiteY37" fmla="*/ 328613 h 595313"/>
            <a:gd name="connsiteX38" fmla="*/ 419100 w 624156"/>
            <a:gd name="connsiteY38" fmla="*/ 309563 h 595313"/>
            <a:gd name="connsiteX39" fmla="*/ 428625 w 624156"/>
            <a:gd name="connsiteY39" fmla="*/ 295275 h 595313"/>
            <a:gd name="connsiteX40" fmla="*/ 442913 w 624156"/>
            <a:gd name="connsiteY40" fmla="*/ 247650 h 595313"/>
            <a:gd name="connsiteX41" fmla="*/ 457200 w 624156"/>
            <a:gd name="connsiteY41" fmla="*/ 242888 h 595313"/>
            <a:gd name="connsiteX42" fmla="*/ 466725 w 624156"/>
            <a:gd name="connsiteY42" fmla="*/ 228600 h 595313"/>
            <a:gd name="connsiteX43" fmla="*/ 476250 w 624156"/>
            <a:gd name="connsiteY43" fmla="*/ 195263 h 595313"/>
            <a:gd name="connsiteX44" fmla="*/ 485775 w 624156"/>
            <a:gd name="connsiteY44" fmla="*/ 176213 h 595313"/>
            <a:gd name="connsiteX45" fmla="*/ 490538 w 624156"/>
            <a:gd name="connsiteY45" fmla="*/ 161925 h 595313"/>
            <a:gd name="connsiteX46" fmla="*/ 519113 w 624156"/>
            <a:gd name="connsiteY46" fmla="*/ 142875 h 595313"/>
            <a:gd name="connsiteX47" fmla="*/ 538163 w 624156"/>
            <a:gd name="connsiteY47" fmla="*/ 128588 h 595313"/>
            <a:gd name="connsiteX48" fmla="*/ 557213 w 624156"/>
            <a:gd name="connsiteY48" fmla="*/ 100013 h 595313"/>
            <a:gd name="connsiteX49" fmla="*/ 581025 w 624156"/>
            <a:gd name="connsiteY49" fmla="*/ 80963 h 595313"/>
            <a:gd name="connsiteX50" fmla="*/ 614363 w 624156"/>
            <a:gd name="connsiteY50" fmla="*/ 76200 h 595313"/>
            <a:gd name="connsiteX51" fmla="*/ 623888 w 624156"/>
            <a:gd name="connsiteY51" fmla="*/ 61913 h 595313"/>
            <a:gd name="connsiteX52" fmla="*/ 604838 w 624156"/>
            <a:gd name="connsiteY52" fmla="*/ 38100 h 595313"/>
            <a:gd name="connsiteX53" fmla="*/ 581025 w 624156"/>
            <a:gd name="connsiteY53" fmla="*/ 14288 h 595313"/>
            <a:gd name="connsiteX54" fmla="*/ 552450 w 624156"/>
            <a:gd name="connsiteY54" fmla="*/ 19050 h 595313"/>
            <a:gd name="connsiteX55" fmla="*/ 528638 w 624156"/>
            <a:gd name="connsiteY55" fmla="*/ 38100 h 595313"/>
            <a:gd name="connsiteX56" fmla="*/ 514350 w 624156"/>
            <a:gd name="connsiteY56" fmla="*/ 42863 h 595313"/>
            <a:gd name="connsiteX57" fmla="*/ 476250 w 624156"/>
            <a:gd name="connsiteY57" fmla="*/ 47625 h 595313"/>
            <a:gd name="connsiteX58" fmla="*/ 461963 w 624156"/>
            <a:gd name="connsiteY58" fmla="*/ 57150 h 595313"/>
            <a:gd name="connsiteX59" fmla="*/ 452438 w 624156"/>
            <a:gd name="connsiteY59" fmla="*/ 71438 h 595313"/>
            <a:gd name="connsiteX60" fmla="*/ 409575 w 624156"/>
            <a:gd name="connsiteY60" fmla="*/ 95250 h 595313"/>
            <a:gd name="connsiteX61" fmla="*/ 381000 w 624156"/>
            <a:gd name="connsiteY61" fmla="*/ 109538 h 595313"/>
            <a:gd name="connsiteX62" fmla="*/ 376238 w 624156"/>
            <a:gd name="connsiteY62" fmla="*/ 90488 h 595313"/>
            <a:gd name="connsiteX63" fmla="*/ 361950 w 624156"/>
            <a:gd name="connsiteY63" fmla="*/ 52388 h 595313"/>
            <a:gd name="connsiteX64" fmla="*/ 228600 w 624156"/>
            <a:gd name="connsiteY64" fmla="*/ 90488 h 595313"/>
            <a:gd name="connsiteX65" fmla="*/ 190500 w 624156"/>
            <a:gd name="connsiteY65" fmla="*/ 0 h 5953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Lst>
          <a:rect l="l" t="t" r="r" b="b"/>
          <a:pathLst>
            <a:path w="624156" h="595313">
              <a:moveTo>
                <a:pt x="190500" y="0"/>
              </a:moveTo>
              <a:lnTo>
                <a:pt x="190500" y="0"/>
              </a:lnTo>
              <a:cubicBezTo>
                <a:pt x="188913" y="15875"/>
                <a:pt x="188678" y="31944"/>
                <a:pt x="185738" y="47625"/>
              </a:cubicBezTo>
              <a:cubicBezTo>
                <a:pt x="183888" y="57493"/>
                <a:pt x="179388" y="66675"/>
                <a:pt x="176213" y="76200"/>
              </a:cubicBezTo>
              <a:lnTo>
                <a:pt x="171450" y="90488"/>
              </a:lnTo>
              <a:cubicBezTo>
                <a:pt x="169863" y="95250"/>
                <a:pt x="169473" y="100598"/>
                <a:pt x="166688" y="104775"/>
              </a:cubicBezTo>
              <a:lnTo>
                <a:pt x="147638" y="133350"/>
              </a:lnTo>
              <a:cubicBezTo>
                <a:pt x="141288" y="142875"/>
                <a:pt x="128588" y="146050"/>
                <a:pt x="119063" y="152400"/>
              </a:cubicBezTo>
              <a:lnTo>
                <a:pt x="104775" y="161925"/>
              </a:lnTo>
              <a:cubicBezTo>
                <a:pt x="80234" y="198737"/>
                <a:pt x="105999" y="154992"/>
                <a:pt x="90488" y="242888"/>
              </a:cubicBezTo>
              <a:cubicBezTo>
                <a:pt x="88900" y="251888"/>
                <a:pt x="71274" y="265945"/>
                <a:pt x="66675" y="271463"/>
              </a:cubicBezTo>
              <a:cubicBezTo>
                <a:pt x="33515" y="311255"/>
                <a:pt x="84613" y="258285"/>
                <a:pt x="42863" y="300038"/>
              </a:cubicBezTo>
              <a:cubicBezTo>
                <a:pt x="25488" y="352156"/>
                <a:pt x="53201" y="273204"/>
                <a:pt x="28575" y="328613"/>
              </a:cubicBezTo>
              <a:cubicBezTo>
                <a:pt x="24497" y="337788"/>
                <a:pt x="22225" y="347663"/>
                <a:pt x="19050" y="357188"/>
              </a:cubicBezTo>
              <a:cubicBezTo>
                <a:pt x="17463" y="361950"/>
                <a:pt x="17072" y="367298"/>
                <a:pt x="14288" y="371475"/>
              </a:cubicBezTo>
              <a:cubicBezTo>
                <a:pt x="1978" y="389940"/>
                <a:pt x="6573" y="380333"/>
                <a:pt x="0" y="400050"/>
              </a:cubicBezTo>
              <a:cubicBezTo>
                <a:pt x="1588" y="407988"/>
                <a:pt x="1921" y="416284"/>
                <a:pt x="4763" y="423863"/>
              </a:cubicBezTo>
              <a:cubicBezTo>
                <a:pt x="6773" y="429222"/>
                <a:pt x="11448" y="433180"/>
                <a:pt x="14288" y="438150"/>
              </a:cubicBezTo>
              <a:cubicBezTo>
                <a:pt x="22103" y="451826"/>
                <a:pt x="30336" y="470765"/>
                <a:pt x="33338" y="485775"/>
              </a:cubicBezTo>
              <a:cubicBezTo>
                <a:pt x="33576" y="486965"/>
                <a:pt x="38956" y="518991"/>
                <a:pt x="42863" y="523875"/>
              </a:cubicBezTo>
              <a:cubicBezTo>
                <a:pt x="54117" y="537942"/>
                <a:pt x="75751" y="535896"/>
                <a:pt x="90488" y="538163"/>
              </a:cubicBezTo>
              <a:cubicBezTo>
                <a:pt x="100032" y="539631"/>
                <a:pt x="109538" y="541338"/>
                <a:pt x="119063" y="542925"/>
              </a:cubicBezTo>
              <a:cubicBezTo>
                <a:pt x="123825" y="546100"/>
                <a:pt x="129774" y="547981"/>
                <a:pt x="133350" y="552450"/>
              </a:cubicBezTo>
              <a:cubicBezTo>
                <a:pt x="164334" y="591181"/>
                <a:pt x="107497" y="540884"/>
                <a:pt x="147638" y="581025"/>
              </a:cubicBezTo>
              <a:cubicBezTo>
                <a:pt x="156870" y="590257"/>
                <a:pt x="164592" y="591439"/>
                <a:pt x="176213" y="595313"/>
              </a:cubicBezTo>
              <a:cubicBezTo>
                <a:pt x="180975" y="593725"/>
                <a:pt x="186323" y="593335"/>
                <a:pt x="190500" y="590550"/>
              </a:cubicBezTo>
              <a:cubicBezTo>
                <a:pt x="196104" y="586814"/>
                <a:pt x="199614" y="580575"/>
                <a:pt x="204788" y="576263"/>
              </a:cubicBezTo>
              <a:cubicBezTo>
                <a:pt x="209185" y="572599"/>
                <a:pt x="214313" y="569913"/>
                <a:pt x="219075" y="566738"/>
              </a:cubicBezTo>
              <a:cubicBezTo>
                <a:pt x="222250" y="561975"/>
                <a:pt x="224130" y="556026"/>
                <a:pt x="228600" y="552450"/>
              </a:cubicBezTo>
              <a:cubicBezTo>
                <a:pt x="232520" y="549314"/>
                <a:pt x="237912" y="548351"/>
                <a:pt x="242888" y="547688"/>
              </a:cubicBezTo>
              <a:cubicBezTo>
                <a:pt x="261836" y="545162"/>
                <a:pt x="280988" y="544513"/>
                <a:pt x="300038" y="542925"/>
              </a:cubicBezTo>
              <a:cubicBezTo>
                <a:pt x="332790" y="521090"/>
                <a:pt x="317753" y="527495"/>
                <a:pt x="342900" y="519113"/>
              </a:cubicBezTo>
              <a:cubicBezTo>
                <a:pt x="354066" y="485617"/>
                <a:pt x="342900" y="525766"/>
                <a:pt x="342900" y="461963"/>
              </a:cubicBezTo>
              <a:cubicBezTo>
                <a:pt x="342900" y="455814"/>
                <a:pt x="346561" y="424894"/>
                <a:pt x="352425" y="414338"/>
              </a:cubicBezTo>
              <a:cubicBezTo>
                <a:pt x="357984" y="404331"/>
                <a:pt x="365125" y="395288"/>
                <a:pt x="371475" y="385763"/>
              </a:cubicBezTo>
              <a:cubicBezTo>
                <a:pt x="371476" y="385762"/>
                <a:pt x="390523" y="357189"/>
                <a:pt x="390525" y="357188"/>
              </a:cubicBezTo>
              <a:lnTo>
                <a:pt x="409575" y="342900"/>
              </a:lnTo>
              <a:cubicBezTo>
                <a:pt x="411163" y="338138"/>
                <a:pt x="412959" y="333440"/>
                <a:pt x="414338" y="328613"/>
              </a:cubicBezTo>
              <a:cubicBezTo>
                <a:pt x="416136" y="322319"/>
                <a:pt x="416522" y="315579"/>
                <a:pt x="419100" y="309563"/>
              </a:cubicBezTo>
              <a:cubicBezTo>
                <a:pt x="421355" y="304302"/>
                <a:pt x="425450" y="300038"/>
                <a:pt x="428625" y="295275"/>
              </a:cubicBezTo>
              <a:cubicBezTo>
                <a:pt x="430325" y="288475"/>
                <a:pt x="439752" y="248704"/>
                <a:pt x="442913" y="247650"/>
              </a:cubicBezTo>
              <a:lnTo>
                <a:pt x="457200" y="242888"/>
              </a:lnTo>
              <a:cubicBezTo>
                <a:pt x="460375" y="238125"/>
                <a:pt x="464165" y="233720"/>
                <a:pt x="466725" y="228600"/>
              </a:cubicBezTo>
              <a:cubicBezTo>
                <a:pt x="472486" y="217078"/>
                <a:pt x="471668" y="207482"/>
                <a:pt x="476250" y="195263"/>
              </a:cubicBezTo>
              <a:cubicBezTo>
                <a:pt x="478743" y="188615"/>
                <a:pt x="482978" y="182738"/>
                <a:pt x="485775" y="176213"/>
              </a:cubicBezTo>
              <a:cubicBezTo>
                <a:pt x="487753" y="171599"/>
                <a:pt x="486988" y="165475"/>
                <a:pt x="490538" y="161925"/>
              </a:cubicBezTo>
              <a:cubicBezTo>
                <a:pt x="498633" y="153830"/>
                <a:pt x="509955" y="149743"/>
                <a:pt x="519113" y="142875"/>
              </a:cubicBezTo>
              <a:lnTo>
                <a:pt x="538163" y="128588"/>
              </a:lnTo>
              <a:lnTo>
                <a:pt x="557213" y="100013"/>
              </a:lnTo>
              <a:cubicBezTo>
                <a:pt x="567217" y="85006"/>
                <a:pt x="563329" y="84502"/>
                <a:pt x="581025" y="80963"/>
              </a:cubicBezTo>
              <a:cubicBezTo>
                <a:pt x="592033" y="78761"/>
                <a:pt x="603250" y="77788"/>
                <a:pt x="614363" y="76200"/>
              </a:cubicBezTo>
              <a:cubicBezTo>
                <a:pt x="617538" y="71438"/>
                <a:pt x="622947" y="67559"/>
                <a:pt x="623888" y="61913"/>
              </a:cubicBezTo>
              <a:cubicBezTo>
                <a:pt x="626188" y="48111"/>
                <a:pt x="613186" y="43665"/>
                <a:pt x="604838" y="38100"/>
              </a:cubicBezTo>
              <a:cubicBezTo>
                <a:pt x="599758" y="30480"/>
                <a:pt x="592455" y="15558"/>
                <a:pt x="581025" y="14288"/>
              </a:cubicBezTo>
              <a:cubicBezTo>
                <a:pt x="571428" y="13222"/>
                <a:pt x="561975" y="17463"/>
                <a:pt x="552450" y="19050"/>
              </a:cubicBezTo>
              <a:cubicBezTo>
                <a:pt x="516537" y="31023"/>
                <a:pt x="559414" y="13480"/>
                <a:pt x="528638" y="38100"/>
              </a:cubicBezTo>
              <a:cubicBezTo>
                <a:pt x="524718" y="41236"/>
                <a:pt x="519289" y="41965"/>
                <a:pt x="514350" y="42863"/>
              </a:cubicBezTo>
              <a:cubicBezTo>
                <a:pt x="501758" y="45153"/>
                <a:pt x="488950" y="46038"/>
                <a:pt x="476250" y="47625"/>
              </a:cubicBezTo>
              <a:cubicBezTo>
                <a:pt x="471488" y="50800"/>
                <a:pt x="466010" y="53103"/>
                <a:pt x="461963" y="57150"/>
              </a:cubicBezTo>
              <a:cubicBezTo>
                <a:pt x="457916" y="61198"/>
                <a:pt x="456746" y="67669"/>
                <a:pt x="452438" y="71438"/>
              </a:cubicBezTo>
              <a:cubicBezTo>
                <a:pt x="432282" y="89075"/>
                <a:pt x="429199" y="88709"/>
                <a:pt x="409575" y="95250"/>
              </a:cubicBezTo>
              <a:cubicBezTo>
                <a:pt x="408302" y="96099"/>
                <a:pt x="385640" y="113018"/>
                <a:pt x="381000" y="109538"/>
              </a:cubicBezTo>
              <a:cubicBezTo>
                <a:pt x="375764" y="105611"/>
                <a:pt x="378119" y="96757"/>
                <a:pt x="376238" y="90488"/>
              </a:cubicBezTo>
              <a:cubicBezTo>
                <a:pt x="368253" y="63869"/>
                <a:pt x="370262" y="69011"/>
                <a:pt x="361950" y="52388"/>
              </a:cubicBezTo>
              <a:lnTo>
                <a:pt x="228600" y="90488"/>
              </a:lnTo>
              <a:lnTo>
                <a:pt x="1905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492168</xdr:colOff>
      <xdr:row>88</xdr:row>
      <xdr:rowOff>10459</xdr:rowOff>
    </xdr:from>
    <xdr:to>
      <xdr:col>13</xdr:col>
      <xdr:colOff>110607</xdr:colOff>
      <xdr:row>91</xdr:row>
      <xdr:rowOff>133163</xdr:rowOff>
    </xdr:to>
    <xdr:sp macro="" textlink="">
      <xdr:nvSpPr>
        <xdr:cNvPr id="52" name="Pennsylvania"/>
        <xdr:cNvSpPr/>
      </xdr:nvSpPr>
      <xdr:spPr>
        <a:xfrm>
          <a:off x="6702468" y="14678959"/>
          <a:ext cx="837639" cy="618004"/>
        </a:xfrm>
        <a:custGeom>
          <a:avLst/>
          <a:gdLst>
            <a:gd name="connsiteX0" fmla="*/ 0 w 852488"/>
            <a:gd name="connsiteY0" fmla="*/ 214313 h 638175"/>
            <a:gd name="connsiteX1" fmla="*/ 76200 w 852488"/>
            <a:gd name="connsiteY1" fmla="*/ 457200 h 638175"/>
            <a:gd name="connsiteX2" fmla="*/ 66675 w 852488"/>
            <a:gd name="connsiteY2" fmla="*/ 538163 h 638175"/>
            <a:gd name="connsiteX3" fmla="*/ 104775 w 852488"/>
            <a:gd name="connsiteY3" fmla="*/ 638175 h 638175"/>
            <a:gd name="connsiteX4" fmla="*/ 804863 w 852488"/>
            <a:gd name="connsiteY4" fmla="*/ 409575 h 638175"/>
            <a:gd name="connsiteX5" fmla="*/ 828675 w 852488"/>
            <a:gd name="connsiteY5" fmla="*/ 376238 h 638175"/>
            <a:gd name="connsiteX6" fmla="*/ 833438 w 852488"/>
            <a:gd name="connsiteY6" fmla="*/ 361950 h 638175"/>
            <a:gd name="connsiteX7" fmla="*/ 842963 w 852488"/>
            <a:gd name="connsiteY7" fmla="*/ 342900 h 638175"/>
            <a:gd name="connsiteX8" fmla="*/ 852488 w 852488"/>
            <a:gd name="connsiteY8" fmla="*/ 314325 h 638175"/>
            <a:gd name="connsiteX9" fmla="*/ 838200 w 852488"/>
            <a:gd name="connsiteY9" fmla="*/ 285750 h 638175"/>
            <a:gd name="connsiteX10" fmla="*/ 823913 w 852488"/>
            <a:gd name="connsiteY10" fmla="*/ 280988 h 638175"/>
            <a:gd name="connsiteX11" fmla="*/ 781050 w 852488"/>
            <a:gd name="connsiteY11" fmla="*/ 257175 h 638175"/>
            <a:gd name="connsiteX12" fmla="*/ 771525 w 852488"/>
            <a:gd name="connsiteY12" fmla="*/ 228600 h 638175"/>
            <a:gd name="connsiteX13" fmla="*/ 776288 w 852488"/>
            <a:gd name="connsiteY13" fmla="*/ 133350 h 638175"/>
            <a:gd name="connsiteX14" fmla="*/ 781050 w 852488"/>
            <a:gd name="connsiteY14" fmla="*/ 119063 h 638175"/>
            <a:gd name="connsiteX15" fmla="*/ 790575 w 852488"/>
            <a:gd name="connsiteY15" fmla="*/ 104775 h 638175"/>
            <a:gd name="connsiteX16" fmla="*/ 785813 w 852488"/>
            <a:gd name="connsiteY16" fmla="*/ 90488 h 638175"/>
            <a:gd name="connsiteX17" fmla="*/ 771525 w 852488"/>
            <a:gd name="connsiteY17" fmla="*/ 80963 h 638175"/>
            <a:gd name="connsiteX18" fmla="*/ 757238 w 852488"/>
            <a:gd name="connsiteY18" fmla="*/ 66675 h 638175"/>
            <a:gd name="connsiteX19" fmla="*/ 752475 w 852488"/>
            <a:gd name="connsiteY19" fmla="*/ 52388 h 638175"/>
            <a:gd name="connsiteX20" fmla="*/ 714375 w 852488"/>
            <a:gd name="connsiteY20" fmla="*/ 9525 h 638175"/>
            <a:gd name="connsiteX21" fmla="*/ 685800 w 852488"/>
            <a:gd name="connsiteY21" fmla="*/ 0 h 638175"/>
            <a:gd name="connsiteX22" fmla="*/ 676275 w 852488"/>
            <a:gd name="connsiteY22" fmla="*/ 14288 h 638175"/>
            <a:gd name="connsiteX23" fmla="*/ 0 w 852488"/>
            <a:gd name="connsiteY23" fmla="*/ 214313 h 638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852488" h="638175">
              <a:moveTo>
                <a:pt x="0" y="214313"/>
              </a:moveTo>
              <a:lnTo>
                <a:pt x="76200" y="457200"/>
              </a:lnTo>
              <a:lnTo>
                <a:pt x="66675" y="538163"/>
              </a:lnTo>
              <a:lnTo>
                <a:pt x="104775" y="638175"/>
              </a:lnTo>
              <a:lnTo>
                <a:pt x="804863" y="409575"/>
              </a:lnTo>
              <a:cubicBezTo>
                <a:pt x="812800" y="398463"/>
                <a:pt x="821649" y="387948"/>
                <a:pt x="828675" y="376238"/>
              </a:cubicBezTo>
              <a:cubicBezTo>
                <a:pt x="831258" y="371933"/>
                <a:pt x="831460" y="366564"/>
                <a:pt x="833438" y="361950"/>
              </a:cubicBezTo>
              <a:cubicBezTo>
                <a:pt x="836235" y="355425"/>
                <a:pt x="840326" y="349492"/>
                <a:pt x="842963" y="342900"/>
              </a:cubicBezTo>
              <a:cubicBezTo>
                <a:pt x="846692" y="333578"/>
                <a:pt x="852488" y="314325"/>
                <a:pt x="852488" y="314325"/>
              </a:cubicBezTo>
              <a:cubicBezTo>
                <a:pt x="849351" y="304914"/>
                <a:pt x="846592" y="292464"/>
                <a:pt x="838200" y="285750"/>
              </a:cubicBezTo>
              <a:cubicBezTo>
                <a:pt x="834280" y="282614"/>
                <a:pt x="828675" y="282575"/>
                <a:pt x="823913" y="280988"/>
              </a:cubicBezTo>
              <a:cubicBezTo>
                <a:pt x="791161" y="259153"/>
                <a:pt x="806198" y="265558"/>
                <a:pt x="781050" y="257175"/>
              </a:cubicBezTo>
              <a:lnTo>
                <a:pt x="771525" y="228600"/>
              </a:lnTo>
              <a:cubicBezTo>
                <a:pt x="761472" y="198442"/>
                <a:pt x="773534" y="165020"/>
                <a:pt x="776288" y="133350"/>
              </a:cubicBezTo>
              <a:cubicBezTo>
                <a:pt x="776723" y="128349"/>
                <a:pt x="778805" y="123553"/>
                <a:pt x="781050" y="119063"/>
              </a:cubicBezTo>
              <a:cubicBezTo>
                <a:pt x="783610" y="113943"/>
                <a:pt x="787400" y="109538"/>
                <a:pt x="790575" y="104775"/>
              </a:cubicBezTo>
              <a:cubicBezTo>
                <a:pt x="788988" y="100013"/>
                <a:pt x="788949" y="94408"/>
                <a:pt x="785813" y="90488"/>
              </a:cubicBezTo>
              <a:cubicBezTo>
                <a:pt x="782237" y="86018"/>
                <a:pt x="775922" y="84627"/>
                <a:pt x="771525" y="80963"/>
              </a:cubicBezTo>
              <a:cubicBezTo>
                <a:pt x="766351" y="76651"/>
                <a:pt x="762000" y="71438"/>
                <a:pt x="757238" y="66675"/>
              </a:cubicBezTo>
              <a:cubicBezTo>
                <a:pt x="755650" y="61913"/>
                <a:pt x="754720" y="56878"/>
                <a:pt x="752475" y="52388"/>
              </a:cubicBezTo>
              <a:cubicBezTo>
                <a:pt x="746121" y="39681"/>
                <a:pt x="721951" y="12050"/>
                <a:pt x="714375" y="9525"/>
              </a:cubicBezTo>
              <a:lnTo>
                <a:pt x="685800" y="0"/>
              </a:lnTo>
              <a:lnTo>
                <a:pt x="676275" y="14288"/>
              </a:lnTo>
              <a:lnTo>
                <a:pt x="0" y="214313"/>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116210</xdr:colOff>
      <xdr:row>90</xdr:row>
      <xdr:rowOff>103281</xdr:rowOff>
    </xdr:from>
    <xdr:to>
      <xdr:col>13</xdr:col>
      <xdr:colOff>155722</xdr:colOff>
      <xdr:row>92</xdr:row>
      <xdr:rowOff>155044</xdr:rowOff>
    </xdr:to>
    <xdr:sp macro="" textlink="">
      <xdr:nvSpPr>
        <xdr:cNvPr id="53" name="Maryland"/>
        <xdr:cNvSpPr/>
      </xdr:nvSpPr>
      <xdr:spPr>
        <a:xfrm>
          <a:off x="6936110" y="15101981"/>
          <a:ext cx="649112" cy="381963"/>
        </a:xfrm>
        <a:custGeom>
          <a:avLst/>
          <a:gdLst>
            <a:gd name="connsiteX0" fmla="*/ 0 w 653594"/>
            <a:gd name="connsiteY0" fmla="*/ 147638 h 392048"/>
            <a:gd name="connsiteX1" fmla="*/ 28575 w 653594"/>
            <a:gd name="connsiteY1" fmla="*/ 219075 h 392048"/>
            <a:gd name="connsiteX2" fmla="*/ 71438 w 653594"/>
            <a:gd name="connsiteY2" fmla="*/ 214313 h 392048"/>
            <a:gd name="connsiteX3" fmla="*/ 85725 w 653594"/>
            <a:gd name="connsiteY3" fmla="*/ 209550 h 392048"/>
            <a:gd name="connsiteX4" fmla="*/ 100013 w 653594"/>
            <a:gd name="connsiteY4" fmla="*/ 195263 h 392048"/>
            <a:gd name="connsiteX5" fmla="*/ 128588 w 653594"/>
            <a:gd name="connsiteY5" fmla="*/ 185738 h 392048"/>
            <a:gd name="connsiteX6" fmla="*/ 142875 w 653594"/>
            <a:gd name="connsiteY6" fmla="*/ 176213 h 392048"/>
            <a:gd name="connsiteX7" fmla="*/ 157163 w 653594"/>
            <a:gd name="connsiteY7" fmla="*/ 171450 h 392048"/>
            <a:gd name="connsiteX8" fmla="*/ 185738 w 653594"/>
            <a:gd name="connsiteY8" fmla="*/ 152400 h 392048"/>
            <a:gd name="connsiteX9" fmla="*/ 280988 w 653594"/>
            <a:gd name="connsiteY9" fmla="*/ 157163 h 392048"/>
            <a:gd name="connsiteX10" fmla="*/ 295275 w 653594"/>
            <a:gd name="connsiteY10" fmla="*/ 166688 h 392048"/>
            <a:gd name="connsiteX11" fmla="*/ 309563 w 653594"/>
            <a:gd name="connsiteY11" fmla="*/ 171450 h 392048"/>
            <a:gd name="connsiteX12" fmla="*/ 323850 w 653594"/>
            <a:gd name="connsiteY12" fmla="*/ 180975 h 392048"/>
            <a:gd name="connsiteX13" fmla="*/ 342900 w 653594"/>
            <a:gd name="connsiteY13" fmla="*/ 185738 h 392048"/>
            <a:gd name="connsiteX14" fmla="*/ 371475 w 653594"/>
            <a:gd name="connsiteY14" fmla="*/ 204788 h 392048"/>
            <a:gd name="connsiteX15" fmla="*/ 376238 w 653594"/>
            <a:gd name="connsiteY15" fmla="*/ 285750 h 392048"/>
            <a:gd name="connsiteX16" fmla="*/ 390525 w 653594"/>
            <a:gd name="connsiteY16" fmla="*/ 290513 h 392048"/>
            <a:gd name="connsiteX17" fmla="*/ 404813 w 653594"/>
            <a:gd name="connsiteY17" fmla="*/ 300038 h 392048"/>
            <a:gd name="connsiteX18" fmla="*/ 433388 w 653594"/>
            <a:gd name="connsiteY18" fmla="*/ 309563 h 392048"/>
            <a:gd name="connsiteX19" fmla="*/ 471488 w 653594"/>
            <a:gd name="connsiteY19" fmla="*/ 300038 h 392048"/>
            <a:gd name="connsiteX20" fmla="*/ 490538 w 653594"/>
            <a:gd name="connsiteY20" fmla="*/ 295275 h 392048"/>
            <a:gd name="connsiteX21" fmla="*/ 485775 w 653594"/>
            <a:gd name="connsiteY21" fmla="*/ 257175 h 392048"/>
            <a:gd name="connsiteX22" fmla="*/ 471488 w 653594"/>
            <a:gd name="connsiteY22" fmla="*/ 223838 h 392048"/>
            <a:gd name="connsiteX23" fmla="*/ 452438 w 653594"/>
            <a:gd name="connsiteY23" fmla="*/ 190500 h 392048"/>
            <a:gd name="connsiteX24" fmla="*/ 438150 w 653594"/>
            <a:gd name="connsiteY24" fmla="*/ 147638 h 392048"/>
            <a:gd name="connsiteX25" fmla="*/ 433388 w 653594"/>
            <a:gd name="connsiteY25" fmla="*/ 133350 h 392048"/>
            <a:gd name="connsiteX26" fmla="*/ 438150 w 653594"/>
            <a:gd name="connsiteY26" fmla="*/ 114300 h 392048"/>
            <a:gd name="connsiteX27" fmla="*/ 452438 w 653594"/>
            <a:gd name="connsiteY27" fmla="*/ 85725 h 392048"/>
            <a:gd name="connsiteX28" fmla="*/ 466725 w 653594"/>
            <a:gd name="connsiteY28" fmla="*/ 76200 h 392048"/>
            <a:gd name="connsiteX29" fmla="*/ 481013 w 653594"/>
            <a:gd name="connsiteY29" fmla="*/ 119063 h 392048"/>
            <a:gd name="connsiteX30" fmla="*/ 490538 w 653594"/>
            <a:gd name="connsiteY30" fmla="*/ 147638 h 392048"/>
            <a:gd name="connsiteX31" fmla="*/ 495300 w 653594"/>
            <a:gd name="connsiteY31" fmla="*/ 161925 h 392048"/>
            <a:gd name="connsiteX32" fmla="*/ 504825 w 653594"/>
            <a:gd name="connsiteY32" fmla="*/ 190500 h 392048"/>
            <a:gd name="connsiteX33" fmla="*/ 509588 w 653594"/>
            <a:gd name="connsiteY33" fmla="*/ 204788 h 392048"/>
            <a:gd name="connsiteX34" fmla="*/ 519113 w 653594"/>
            <a:gd name="connsiteY34" fmla="*/ 219075 h 392048"/>
            <a:gd name="connsiteX35" fmla="*/ 533400 w 653594"/>
            <a:gd name="connsiteY35" fmla="*/ 247650 h 392048"/>
            <a:gd name="connsiteX36" fmla="*/ 547688 w 653594"/>
            <a:gd name="connsiteY36" fmla="*/ 261938 h 392048"/>
            <a:gd name="connsiteX37" fmla="*/ 557213 w 653594"/>
            <a:gd name="connsiteY37" fmla="*/ 276225 h 392048"/>
            <a:gd name="connsiteX38" fmla="*/ 585788 w 653594"/>
            <a:gd name="connsiteY38" fmla="*/ 295275 h 392048"/>
            <a:gd name="connsiteX39" fmla="*/ 609600 w 653594"/>
            <a:gd name="connsiteY39" fmla="*/ 323850 h 392048"/>
            <a:gd name="connsiteX40" fmla="*/ 614363 w 653594"/>
            <a:gd name="connsiteY40" fmla="*/ 390525 h 392048"/>
            <a:gd name="connsiteX41" fmla="*/ 628650 w 653594"/>
            <a:gd name="connsiteY41" fmla="*/ 381000 h 392048"/>
            <a:gd name="connsiteX42" fmla="*/ 633413 w 653594"/>
            <a:gd name="connsiteY42" fmla="*/ 366713 h 392048"/>
            <a:gd name="connsiteX43" fmla="*/ 647700 w 653594"/>
            <a:gd name="connsiteY43" fmla="*/ 280988 h 392048"/>
            <a:gd name="connsiteX44" fmla="*/ 652463 w 653594"/>
            <a:gd name="connsiteY44" fmla="*/ 257175 h 392048"/>
            <a:gd name="connsiteX45" fmla="*/ 647700 w 653594"/>
            <a:gd name="connsiteY45" fmla="*/ 204788 h 392048"/>
            <a:gd name="connsiteX46" fmla="*/ 619125 w 653594"/>
            <a:gd name="connsiteY46" fmla="*/ 214313 h 392048"/>
            <a:gd name="connsiteX47" fmla="*/ 590550 w 653594"/>
            <a:gd name="connsiteY47" fmla="*/ 219075 h 392048"/>
            <a:gd name="connsiteX48" fmla="*/ 490538 w 653594"/>
            <a:gd name="connsiteY48" fmla="*/ 0 h 392048"/>
            <a:gd name="connsiteX49" fmla="*/ 0 w 653594"/>
            <a:gd name="connsiteY49" fmla="*/ 147638 h 39204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Lst>
          <a:rect l="l" t="t" r="r" b="b"/>
          <a:pathLst>
            <a:path w="653594" h="392048">
              <a:moveTo>
                <a:pt x="0" y="147638"/>
              </a:moveTo>
              <a:lnTo>
                <a:pt x="28575" y="219075"/>
              </a:lnTo>
              <a:cubicBezTo>
                <a:pt x="42863" y="217488"/>
                <a:pt x="57258" y="216676"/>
                <a:pt x="71438" y="214313"/>
              </a:cubicBezTo>
              <a:cubicBezTo>
                <a:pt x="76390" y="213488"/>
                <a:pt x="81548" y="212335"/>
                <a:pt x="85725" y="209550"/>
              </a:cubicBezTo>
              <a:cubicBezTo>
                <a:pt x="91329" y="205814"/>
                <a:pt x="94125" y="198534"/>
                <a:pt x="100013" y="195263"/>
              </a:cubicBezTo>
              <a:cubicBezTo>
                <a:pt x="108790" y="190387"/>
                <a:pt x="128588" y="185738"/>
                <a:pt x="128588" y="185738"/>
              </a:cubicBezTo>
              <a:cubicBezTo>
                <a:pt x="133350" y="182563"/>
                <a:pt x="137756" y="178773"/>
                <a:pt x="142875" y="176213"/>
              </a:cubicBezTo>
              <a:cubicBezTo>
                <a:pt x="147365" y="173968"/>
                <a:pt x="152774" y="173888"/>
                <a:pt x="157163" y="171450"/>
              </a:cubicBezTo>
              <a:cubicBezTo>
                <a:pt x="167170" y="165891"/>
                <a:pt x="185738" y="152400"/>
                <a:pt x="185738" y="152400"/>
              </a:cubicBezTo>
              <a:cubicBezTo>
                <a:pt x="217488" y="153988"/>
                <a:pt x="249465" y="153051"/>
                <a:pt x="280988" y="157163"/>
              </a:cubicBezTo>
              <a:cubicBezTo>
                <a:pt x="286664" y="157903"/>
                <a:pt x="290156" y="164128"/>
                <a:pt x="295275" y="166688"/>
              </a:cubicBezTo>
              <a:cubicBezTo>
                <a:pt x="299765" y="168933"/>
                <a:pt x="304800" y="169863"/>
                <a:pt x="309563" y="171450"/>
              </a:cubicBezTo>
              <a:cubicBezTo>
                <a:pt x="314325" y="174625"/>
                <a:pt x="318589" y="178720"/>
                <a:pt x="323850" y="180975"/>
              </a:cubicBezTo>
              <a:cubicBezTo>
                <a:pt x="329866" y="183553"/>
                <a:pt x="337217" y="182491"/>
                <a:pt x="342900" y="185738"/>
              </a:cubicBezTo>
              <a:cubicBezTo>
                <a:pt x="392849" y="214280"/>
                <a:pt x="326865" y="189916"/>
                <a:pt x="371475" y="204788"/>
              </a:cubicBezTo>
              <a:cubicBezTo>
                <a:pt x="373063" y="231775"/>
                <a:pt x="370374" y="259360"/>
                <a:pt x="376238" y="285750"/>
              </a:cubicBezTo>
              <a:cubicBezTo>
                <a:pt x="377327" y="290650"/>
                <a:pt x="386035" y="288268"/>
                <a:pt x="390525" y="290513"/>
              </a:cubicBezTo>
              <a:cubicBezTo>
                <a:pt x="395645" y="293073"/>
                <a:pt x="399582" y="297713"/>
                <a:pt x="404813" y="300038"/>
              </a:cubicBezTo>
              <a:cubicBezTo>
                <a:pt x="413988" y="304116"/>
                <a:pt x="433388" y="309563"/>
                <a:pt x="433388" y="309563"/>
              </a:cubicBezTo>
              <a:lnTo>
                <a:pt x="471488" y="300038"/>
              </a:lnTo>
              <a:lnTo>
                <a:pt x="490538" y="295275"/>
              </a:lnTo>
              <a:cubicBezTo>
                <a:pt x="488950" y="282575"/>
                <a:pt x="488065" y="269767"/>
                <a:pt x="485775" y="257175"/>
              </a:cubicBezTo>
              <a:cubicBezTo>
                <a:pt x="483423" y="244241"/>
                <a:pt x="476674" y="235939"/>
                <a:pt x="471488" y="223838"/>
              </a:cubicBezTo>
              <a:cubicBezTo>
                <a:pt x="459367" y="195556"/>
                <a:pt x="477402" y="223787"/>
                <a:pt x="452438" y="190500"/>
              </a:cubicBezTo>
              <a:lnTo>
                <a:pt x="438150" y="147638"/>
              </a:lnTo>
              <a:lnTo>
                <a:pt x="433388" y="133350"/>
              </a:lnTo>
              <a:cubicBezTo>
                <a:pt x="434975" y="127000"/>
                <a:pt x="436352" y="120594"/>
                <a:pt x="438150" y="114300"/>
              </a:cubicBezTo>
              <a:cubicBezTo>
                <a:pt x="441248" y="103456"/>
                <a:pt x="444091" y="94073"/>
                <a:pt x="452438" y="85725"/>
              </a:cubicBezTo>
              <a:cubicBezTo>
                <a:pt x="456485" y="81678"/>
                <a:pt x="461963" y="79375"/>
                <a:pt x="466725" y="76200"/>
              </a:cubicBezTo>
              <a:cubicBezTo>
                <a:pt x="484311" y="102580"/>
                <a:pt x="470746" y="77998"/>
                <a:pt x="481013" y="119063"/>
              </a:cubicBezTo>
              <a:cubicBezTo>
                <a:pt x="483448" y="128803"/>
                <a:pt x="487363" y="138113"/>
                <a:pt x="490538" y="147638"/>
              </a:cubicBezTo>
              <a:lnTo>
                <a:pt x="495300" y="161925"/>
              </a:lnTo>
              <a:lnTo>
                <a:pt x="504825" y="190500"/>
              </a:lnTo>
              <a:cubicBezTo>
                <a:pt x="506413" y="195263"/>
                <a:pt x="506803" y="200611"/>
                <a:pt x="509588" y="204788"/>
              </a:cubicBezTo>
              <a:lnTo>
                <a:pt x="519113" y="219075"/>
              </a:lnTo>
              <a:cubicBezTo>
                <a:pt x="523886" y="233396"/>
                <a:pt x="523141" y="235340"/>
                <a:pt x="533400" y="247650"/>
              </a:cubicBezTo>
              <a:cubicBezTo>
                <a:pt x="537712" y="252824"/>
                <a:pt x="543376" y="256764"/>
                <a:pt x="547688" y="261938"/>
              </a:cubicBezTo>
              <a:cubicBezTo>
                <a:pt x="551352" y="266335"/>
                <a:pt x="552905" y="272456"/>
                <a:pt x="557213" y="276225"/>
              </a:cubicBezTo>
              <a:cubicBezTo>
                <a:pt x="565828" y="283763"/>
                <a:pt x="576263" y="288925"/>
                <a:pt x="585788" y="295275"/>
              </a:cubicBezTo>
              <a:cubicBezTo>
                <a:pt x="596786" y="302607"/>
                <a:pt x="602573" y="313310"/>
                <a:pt x="609600" y="323850"/>
              </a:cubicBezTo>
              <a:cubicBezTo>
                <a:pt x="611188" y="346075"/>
                <a:pt x="607317" y="369387"/>
                <a:pt x="614363" y="390525"/>
              </a:cubicBezTo>
              <a:cubicBezTo>
                <a:pt x="616173" y="395955"/>
                <a:pt x="625074" y="385469"/>
                <a:pt x="628650" y="381000"/>
              </a:cubicBezTo>
              <a:cubicBezTo>
                <a:pt x="631786" y="377080"/>
                <a:pt x="631825" y="371475"/>
                <a:pt x="633413" y="366713"/>
              </a:cubicBezTo>
              <a:lnTo>
                <a:pt x="647700" y="280988"/>
              </a:lnTo>
              <a:cubicBezTo>
                <a:pt x="649031" y="273003"/>
                <a:pt x="650875" y="265113"/>
                <a:pt x="652463" y="257175"/>
              </a:cubicBezTo>
              <a:cubicBezTo>
                <a:pt x="650875" y="239713"/>
                <a:pt x="658465" y="218629"/>
                <a:pt x="647700" y="204788"/>
              </a:cubicBezTo>
              <a:cubicBezTo>
                <a:pt x="641536" y="196863"/>
                <a:pt x="628650" y="211138"/>
                <a:pt x="619125" y="214313"/>
              </a:cubicBezTo>
              <a:cubicBezTo>
                <a:pt x="600321" y="220581"/>
                <a:pt x="609857" y="219075"/>
                <a:pt x="590550" y="219075"/>
              </a:cubicBezTo>
              <a:lnTo>
                <a:pt x="490538" y="0"/>
              </a:lnTo>
              <a:lnTo>
                <a:pt x="0" y="1476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49535</xdr:colOff>
      <xdr:row>88</xdr:row>
      <xdr:rowOff>100666</xdr:rowOff>
    </xdr:from>
    <xdr:to>
      <xdr:col>13</xdr:col>
      <xdr:colOff>236378</xdr:colOff>
      <xdr:row>91</xdr:row>
      <xdr:rowOff>23626</xdr:rowOff>
    </xdr:to>
    <xdr:sp macro="" textlink="">
      <xdr:nvSpPr>
        <xdr:cNvPr id="54" name="New_Jersey"/>
        <xdr:cNvSpPr/>
      </xdr:nvSpPr>
      <xdr:spPr>
        <a:xfrm>
          <a:off x="7479035" y="14769166"/>
          <a:ext cx="186843" cy="418260"/>
        </a:xfrm>
        <a:custGeom>
          <a:avLst/>
          <a:gdLst>
            <a:gd name="connsiteX0" fmla="*/ 14288 w 191325"/>
            <a:gd name="connsiteY0" fmla="*/ 0 h 433388"/>
            <a:gd name="connsiteX1" fmla="*/ 14288 w 191325"/>
            <a:gd name="connsiteY1" fmla="*/ 0 h 433388"/>
            <a:gd name="connsiteX2" fmla="*/ 9525 w 191325"/>
            <a:gd name="connsiteY2" fmla="*/ 42863 h 433388"/>
            <a:gd name="connsiteX3" fmla="*/ 0 w 191325"/>
            <a:gd name="connsiteY3" fmla="*/ 71438 h 433388"/>
            <a:gd name="connsiteX4" fmla="*/ 4763 w 191325"/>
            <a:gd name="connsiteY4" fmla="*/ 142875 h 433388"/>
            <a:gd name="connsiteX5" fmla="*/ 19050 w 191325"/>
            <a:gd name="connsiteY5" fmla="*/ 152400 h 433388"/>
            <a:gd name="connsiteX6" fmla="*/ 47625 w 191325"/>
            <a:gd name="connsiteY6" fmla="*/ 166688 h 433388"/>
            <a:gd name="connsiteX7" fmla="*/ 61913 w 191325"/>
            <a:gd name="connsiteY7" fmla="*/ 195263 h 433388"/>
            <a:gd name="connsiteX8" fmla="*/ 66675 w 191325"/>
            <a:gd name="connsiteY8" fmla="*/ 209550 h 433388"/>
            <a:gd name="connsiteX9" fmla="*/ 57150 w 191325"/>
            <a:gd name="connsiteY9" fmla="*/ 266700 h 433388"/>
            <a:gd name="connsiteX10" fmla="*/ 38100 w 191325"/>
            <a:gd name="connsiteY10" fmla="*/ 295275 h 433388"/>
            <a:gd name="connsiteX11" fmla="*/ 28575 w 191325"/>
            <a:gd name="connsiteY11" fmla="*/ 309563 h 433388"/>
            <a:gd name="connsiteX12" fmla="*/ 33338 w 191325"/>
            <a:gd name="connsiteY12" fmla="*/ 328613 h 433388"/>
            <a:gd name="connsiteX13" fmla="*/ 42863 w 191325"/>
            <a:gd name="connsiteY13" fmla="*/ 357188 h 433388"/>
            <a:gd name="connsiteX14" fmla="*/ 61913 w 191325"/>
            <a:gd name="connsiteY14" fmla="*/ 381000 h 433388"/>
            <a:gd name="connsiteX15" fmla="*/ 76200 w 191325"/>
            <a:gd name="connsiteY15" fmla="*/ 385763 h 433388"/>
            <a:gd name="connsiteX16" fmla="*/ 95250 w 191325"/>
            <a:gd name="connsiteY16" fmla="*/ 390525 h 433388"/>
            <a:gd name="connsiteX17" fmla="*/ 119063 w 191325"/>
            <a:gd name="connsiteY17" fmla="*/ 433388 h 433388"/>
            <a:gd name="connsiteX18" fmla="*/ 138113 w 191325"/>
            <a:gd name="connsiteY18" fmla="*/ 381000 h 433388"/>
            <a:gd name="connsiteX19" fmla="*/ 147638 w 191325"/>
            <a:gd name="connsiteY19" fmla="*/ 342900 h 433388"/>
            <a:gd name="connsiteX20" fmla="*/ 152400 w 191325"/>
            <a:gd name="connsiteY20" fmla="*/ 304800 h 433388"/>
            <a:gd name="connsiteX21" fmla="*/ 157163 w 191325"/>
            <a:gd name="connsiteY21" fmla="*/ 285750 h 433388"/>
            <a:gd name="connsiteX22" fmla="*/ 166688 w 191325"/>
            <a:gd name="connsiteY22" fmla="*/ 228600 h 433388"/>
            <a:gd name="connsiteX23" fmla="*/ 176213 w 191325"/>
            <a:gd name="connsiteY23" fmla="*/ 195263 h 433388"/>
            <a:gd name="connsiteX24" fmla="*/ 185738 w 191325"/>
            <a:gd name="connsiteY24" fmla="*/ 180975 h 433388"/>
            <a:gd name="connsiteX25" fmla="*/ 185738 w 191325"/>
            <a:gd name="connsiteY25" fmla="*/ 147638 h 433388"/>
            <a:gd name="connsiteX26" fmla="*/ 157163 w 191325"/>
            <a:gd name="connsiteY26" fmla="*/ 138113 h 433388"/>
            <a:gd name="connsiteX27" fmla="*/ 152400 w 191325"/>
            <a:gd name="connsiteY27" fmla="*/ 33338 h 433388"/>
            <a:gd name="connsiteX28" fmla="*/ 161925 w 191325"/>
            <a:gd name="connsiteY28" fmla="*/ 4763 h 433388"/>
            <a:gd name="connsiteX29" fmla="*/ 109538 w 191325"/>
            <a:gd name="connsiteY29" fmla="*/ 14288 h 433388"/>
            <a:gd name="connsiteX30" fmla="*/ 42863 w 191325"/>
            <a:gd name="connsiteY30" fmla="*/ 9525 h 433388"/>
            <a:gd name="connsiteX31" fmla="*/ 28575 w 191325"/>
            <a:gd name="connsiteY31" fmla="*/ 4763 h 433388"/>
            <a:gd name="connsiteX32" fmla="*/ 14288 w 191325"/>
            <a:gd name="connsiteY32" fmla="*/ 0 h 43338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Lst>
          <a:rect l="l" t="t" r="r" b="b"/>
          <a:pathLst>
            <a:path w="191325" h="433388">
              <a:moveTo>
                <a:pt x="14288" y="0"/>
              </a:moveTo>
              <a:lnTo>
                <a:pt x="14288" y="0"/>
              </a:lnTo>
              <a:cubicBezTo>
                <a:pt x="12700" y="14288"/>
                <a:pt x="12344" y="28767"/>
                <a:pt x="9525" y="42863"/>
              </a:cubicBezTo>
              <a:cubicBezTo>
                <a:pt x="7556" y="52708"/>
                <a:pt x="0" y="71438"/>
                <a:pt x="0" y="71438"/>
              </a:cubicBezTo>
              <a:cubicBezTo>
                <a:pt x="1588" y="95250"/>
                <a:pt x="-703" y="119644"/>
                <a:pt x="4763" y="142875"/>
              </a:cubicBezTo>
              <a:cubicBezTo>
                <a:pt x="6074" y="148447"/>
                <a:pt x="13931" y="149840"/>
                <a:pt x="19050" y="152400"/>
              </a:cubicBezTo>
              <a:cubicBezTo>
                <a:pt x="58484" y="172118"/>
                <a:pt x="6682" y="139392"/>
                <a:pt x="47625" y="166688"/>
              </a:cubicBezTo>
              <a:cubicBezTo>
                <a:pt x="59599" y="202605"/>
                <a:pt x="43445" y="158327"/>
                <a:pt x="61913" y="195263"/>
              </a:cubicBezTo>
              <a:cubicBezTo>
                <a:pt x="64158" y="199753"/>
                <a:pt x="65088" y="204788"/>
                <a:pt x="66675" y="209550"/>
              </a:cubicBezTo>
              <a:cubicBezTo>
                <a:pt x="65800" y="217427"/>
                <a:pt x="64909" y="252735"/>
                <a:pt x="57150" y="266700"/>
              </a:cubicBezTo>
              <a:cubicBezTo>
                <a:pt x="51590" y="276707"/>
                <a:pt x="44450" y="285750"/>
                <a:pt x="38100" y="295275"/>
              </a:cubicBezTo>
              <a:lnTo>
                <a:pt x="28575" y="309563"/>
              </a:lnTo>
              <a:cubicBezTo>
                <a:pt x="30163" y="315913"/>
                <a:pt x="31457" y="322344"/>
                <a:pt x="33338" y="328613"/>
              </a:cubicBezTo>
              <a:cubicBezTo>
                <a:pt x="36223" y="338230"/>
                <a:pt x="39688" y="347663"/>
                <a:pt x="42863" y="357188"/>
              </a:cubicBezTo>
              <a:cubicBezTo>
                <a:pt x="48356" y="373667"/>
                <a:pt x="44678" y="372382"/>
                <a:pt x="61913" y="381000"/>
              </a:cubicBezTo>
              <a:cubicBezTo>
                <a:pt x="66403" y="383245"/>
                <a:pt x="71373" y="384384"/>
                <a:pt x="76200" y="385763"/>
              </a:cubicBezTo>
              <a:cubicBezTo>
                <a:pt x="82494" y="387561"/>
                <a:pt x="88900" y="388938"/>
                <a:pt x="95250" y="390525"/>
              </a:cubicBezTo>
              <a:cubicBezTo>
                <a:pt x="117085" y="423277"/>
                <a:pt x="110680" y="408240"/>
                <a:pt x="119063" y="433388"/>
              </a:cubicBezTo>
              <a:cubicBezTo>
                <a:pt x="139030" y="403437"/>
                <a:pt x="119927" y="435563"/>
                <a:pt x="138113" y="381000"/>
              </a:cubicBezTo>
              <a:cubicBezTo>
                <a:pt x="143907" y="363618"/>
                <a:pt x="144355" y="364243"/>
                <a:pt x="147638" y="342900"/>
              </a:cubicBezTo>
              <a:cubicBezTo>
                <a:pt x="149584" y="330250"/>
                <a:pt x="150296" y="317425"/>
                <a:pt x="152400" y="304800"/>
              </a:cubicBezTo>
              <a:cubicBezTo>
                <a:pt x="153476" y="298344"/>
                <a:pt x="155992" y="292190"/>
                <a:pt x="157163" y="285750"/>
              </a:cubicBezTo>
              <a:cubicBezTo>
                <a:pt x="167110" y="231043"/>
                <a:pt x="156810" y="273052"/>
                <a:pt x="166688" y="228600"/>
              </a:cubicBezTo>
              <a:cubicBezTo>
                <a:pt x="167910" y="223100"/>
                <a:pt x="173029" y="201632"/>
                <a:pt x="176213" y="195263"/>
              </a:cubicBezTo>
              <a:cubicBezTo>
                <a:pt x="178773" y="190143"/>
                <a:pt x="182563" y="185738"/>
                <a:pt x="185738" y="180975"/>
              </a:cubicBezTo>
              <a:cubicBezTo>
                <a:pt x="188833" y="171690"/>
                <a:pt x="196590" y="156940"/>
                <a:pt x="185738" y="147638"/>
              </a:cubicBezTo>
              <a:cubicBezTo>
                <a:pt x="178115" y="141104"/>
                <a:pt x="157163" y="138113"/>
                <a:pt x="157163" y="138113"/>
              </a:cubicBezTo>
              <a:cubicBezTo>
                <a:pt x="131925" y="100255"/>
                <a:pt x="141845" y="121302"/>
                <a:pt x="152400" y="33338"/>
              </a:cubicBezTo>
              <a:cubicBezTo>
                <a:pt x="153596" y="23369"/>
                <a:pt x="171770" y="2794"/>
                <a:pt x="161925" y="4763"/>
              </a:cubicBezTo>
              <a:cubicBezTo>
                <a:pt x="128644" y="11419"/>
                <a:pt x="146097" y="8194"/>
                <a:pt x="109538" y="14288"/>
              </a:cubicBezTo>
              <a:cubicBezTo>
                <a:pt x="87313" y="12700"/>
                <a:pt x="64992" y="12128"/>
                <a:pt x="42863" y="9525"/>
              </a:cubicBezTo>
              <a:cubicBezTo>
                <a:pt x="37877" y="8938"/>
                <a:pt x="33402" y="6142"/>
                <a:pt x="28575" y="4763"/>
              </a:cubicBezTo>
              <a:cubicBezTo>
                <a:pt x="22281" y="2965"/>
                <a:pt x="16669" y="794"/>
                <a:pt x="14288"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544556</xdr:colOff>
      <xdr:row>84</xdr:row>
      <xdr:rowOff>57617</xdr:rowOff>
    </xdr:from>
    <xdr:to>
      <xdr:col>13</xdr:col>
      <xdr:colOff>430816</xdr:colOff>
      <xdr:row>89</xdr:row>
      <xdr:rowOff>44824</xdr:rowOff>
    </xdr:to>
    <xdr:grpSp>
      <xdr:nvGrpSpPr>
        <xdr:cNvPr id="55" name="New_York"/>
        <xdr:cNvGrpSpPr/>
      </xdr:nvGrpSpPr>
      <xdr:grpSpPr>
        <a:xfrm>
          <a:off x="6754856" y="14218117"/>
          <a:ext cx="1105460" cy="812707"/>
          <a:chOff x="10167938" y="11129963"/>
          <a:chExt cx="1114425" cy="842962"/>
        </a:xfrm>
      </xdr:grpSpPr>
      <xdr:sp macro="" textlink="">
        <xdr:nvSpPr>
          <xdr:cNvPr id="56" name="Freeform 55"/>
          <xdr:cNvSpPr/>
        </xdr:nvSpPr>
        <xdr:spPr>
          <a:xfrm>
            <a:off x="10167938" y="11129963"/>
            <a:ext cx="938212" cy="842962"/>
          </a:xfrm>
          <a:custGeom>
            <a:avLst/>
            <a:gdLst>
              <a:gd name="connsiteX0" fmla="*/ 700087 w 938212"/>
              <a:gd name="connsiteY0" fmla="*/ 0 h 842962"/>
              <a:gd name="connsiteX1" fmla="*/ 700087 w 938212"/>
              <a:gd name="connsiteY1" fmla="*/ 0 h 842962"/>
              <a:gd name="connsiteX2" fmla="*/ 657225 w 938212"/>
              <a:gd name="connsiteY2" fmla="*/ 14287 h 842962"/>
              <a:gd name="connsiteX3" fmla="*/ 638175 w 938212"/>
              <a:gd name="connsiteY3" fmla="*/ 19050 h 842962"/>
              <a:gd name="connsiteX4" fmla="*/ 595312 w 938212"/>
              <a:gd name="connsiteY4" fmla="*/ 42862 h 842962"/>
              <a:gd name="connsiteX5" fmla="*/ 566737 w 938212"/>
              <a:gd name="connsiteY5" fmla="*/ 61912 h 842962"/>
              <a:gd name="connsiteX6" fmla="*/ 552450 w 938212"/>
              <a:gd name="connsiteY6" fmla="*/ 66675 h 842962"/>
              <a:gd name="connsiteX7" fmla="*/ 523875 w 938212"/>
              <a:gd name="connsiteY7" fmla="*/ 85725 h 842962"/>
              <a:gd name="connsiteX8" fmla="*/ 504825 w 938212"/>
              <a:gd name="connsiteY8" fmla="*/ 114300 h 842962"/>
              <a:gd name="connsiteX9" fmla="*/ 500062 w 938212"/>
              <a:gd name="connsiteY9" fmla="*/ 128587 h 842962"/>
              <a:gd name="connsiteX10" fmla="*/ 485775 w 938212"/>
              <a:gd name="connsiteY10" fmla="*/ 142875 h 842962"/>
              <a:gd name="connsiteX11" fmla="*/ 471487 w 938212"/>
              <a:gd name="connsiteY11" fmla="*/ 176212 h 842962"/>
              <a:gd name="connsiteX12" fmla="*/ 452437 w 938212"/>
              <a:gd name="connsiteY12" fmla="*/ 204787 h 842962"/>
              <a:gd name="connsiteX13" fmla="*/ 442912 w 938212"/>
              <a:gd name="connsiteY13" fmla="*/ 219075 h 842962"/>
              <a:gd name="connsiteX14" fmla="*/ 433387 w 938212"/>
              <a:gd name="connsiteY14" fmla="*/ 247650 h 842962"/>
              <a:gd name="connsiteX15" fmla="*/ 414337 w 938212"/>
              <a:gd name="connsiteY15" fmla="*/ 280987 h 842962"/>
              <a:gd name="connsiteX16" fmla="*/ 409575 w 938212"/>
              <a:gd name="connsiteY16" fmla="*/ 295275 h 842962"/>
              <a:gd name="connsiteX17" fmla="*/ 404812 w 938212"/>
              <a:gd name="connsiteY17" fmla="*/ 323850 h 842962"/>
              <a:gd name="connsiteX18" fmla="*/ 419100 w 938212"/>
              <a:gd name="connsiteY18" fmla="*/ 328612 h 842962"/>
              <a:gd name="connsiteX19" fmla="*/ 423862 w 938212"/>
              <a:gd name="connsiteY19" fmla="*/ 342900 h 842962"/>
              <a:gd name="connsiteX20" fmla="*/ 428625 w 938212"/>
              <a:gd name="connsiteY20" fmla="*/ 390525 h 842962"/>
              <a:gd name="connsiteX21" fmla="*/ 442912 w 938212"/>
              <a:gd name="connsiteY21" fmla="*/ 404812 h 842962"/>
              <a:gd name="connsiteX22" fmla="*/ 423862 w 938212"/>
              <a:gd name="connsiteY22" fmla="*/ 433387 h 842962"/>
              <a:gd name="connsiteX23" fmla="*/ 395287 w 938212"/>
              <a:gd name="connsiteY23" fmla="*/ 442912 h 842962"/>
              <a:gd name="connsiteX24" fmla="*/ 385762 w 938212"/>
              <a:gd name="connsiteY24" fmla="*/ 457200 h 842962"/>
              <a:gd name="connsiteX25" fmla="*/ 371475 w 938212"/>
              <a:gd name="connsiteY25" fmla="*/ 466725 h 842962"/>
              <a:gd name="connsiteX26" fmla="*/ 357187 w 938212"/>
              <a:gd name="connsiteY26" fmla="*/ 481012 h 842962"/>
              <a:gd name="connsiteX27" fmla="*/ 342900 w 938212"/>
              <a:gd name="connsiteY27" fmla="*/ 490537 h 842962"/>
              <a:gd name="connsiteX28" fmla="*/ 314325 w 938212"/>
              <a:gd name="connsiteY28" fmla="*/ 509587 h 842962"/>
              <a:gd name="connsiteX29" fmla="*/ 300037 w 938212"/>
              <a:gd name="connsiteY29" fmla="*/ 519112 h 842962"/>
              <a:gd name="connsiteX30" fmla="*/ 257175 w 938212"/>
              <a:gd name="connsiteY30" fmla="*/ 528637 h 842962"/>
              <a:gd name="connsiteX31" fmla="*/ 228600 w 938212"/>
              <a:gd name="connsiteY31" fmla="*/ 523875 h 842962"/>
              <a:gd name="connsiteX32" fmla="*/ 185737 w 938212"/>
              <a:gd name="connsiteY32" fmla="*/ 533400 h 842962"/>
              <a:gd name="connsiteX33" fmla="*/ 157162 w 938212"/>
              <a:gd name="connsiteY33" fmla="*/ 547687 h 842962"/>
              <a:gd name="connsiteX34" fmla="*/ 142875 w 938212"/>
              <a:gd name="connsiteY34" fmla="*/ 557212 h 842962"/>
              <a:gd name="connsiteX35" fmla="*/ 128587 w 938212"/>
              <a:gd name="connsiteY35" fmla="*/ 561975 h 842962"/>
              <a:gd name="connsiteX36" fmla="*/ 114300 w 938212"/>
              <a:gd name="connsiteY36" fmla="*/ 576262 h 842962"/>
              <a:gd name="connsiteX37" fmla="*/ 100012 w 938212"/>
              <a:gd name="connsiteY37" fmla="*/ 585787 h 842962"/>
              <a:gd name="connsiteX38" fmla="*/ 95250 w 938212"/>
              <a:gd name="connsiteY38" fmla="*/ 604837 h 842962"/>
              <a:gd name="connsiteX39" fmla="*/ 114300 w 938212"/>
              <a:gd name="connsiteY39" fmla="*/ 647700 h 842962"/>
              <a:gd name="connsiteX40" fmla="*/ 128587 w 938212"/>
              <a:gd name="connsiteY40" fmla="*/ 652462 h 842962"/>
              <a:gd name="connsiteX41" fmla="*/ 138112 w 938212"/>
              <a:gd name="connsiteY41" fmla="*/ 666750 h 842962"/>
              <a:gd name="connsiteX42" fmla="*/ 133350 w 938212"/>
              <a:gd name="connsiteY42" fmla="*/ 681037 h 842962"/>
              <a:gd name="connsiteX43" fmla="*/ 104775 w 938212"/>
              <a:gd name="connsiteY43" fmla="*/ 709612 h 842962"/>
              <a:gd name="connsiteX44" fmla="*/ 80962 w 938212"/>
              <a:gd name="connsiteY44" fmla="*/ 738187 h 842962"/>
              <a:gd name="connsiteX45" fmla="*/ 76200 w 938212"/>
              <a:gd name="connsiteY45" fmla="*/ 752475 h 842962"/>
              <a:gd name="connsiteX46" fmla="*/ 52387 w 938212"/>
              <a:gd name="connsiteY46" fmla="*/ 785812 h 842962"/>
              <a:gd name="connsiteX47" fmla="*/ 38100 w 938212"/>
              <a:gd name="connsiteY47" fmla="*/ 795337 h 842962"/>
              <a:gd name="connsiteX48" fmla="*/ 19050 w 938212"/>
              <a:gd name="connsiteY48" fmla="*/ 823912 h 842962"/>
              <a:gd name="connsiteX49" fmla="*/ 4762 w 938212"/>
              <a:gd name="connsiteY49" fmla="*/ 833437 h 842962"/>
              <a:gd name="connsiteX50" fmla="*/ 0 w 938212"/>
              <a:gd name="connsiteY50" fmla="*/ 842962 h 842962"/>
              <a:gd name="connsiteX51" fmla="*/ 652462 w 938212"/>
              <a:gd name="connsiteY51" fmla="*/ 633412 h 842962"/>
              <a:gd name="connsiteX52" fmla="*/ 690562 w 938212"/>
              <a:gd name="connsiteY52" fmla="*/ 652462 h 842962"/>
              <a:gd name="connsiteX53" fmla="*/ 700087 w 938212"/>
              <a:gd name="connsiteY53" fmla="*/ 666750 h 842962"/>
              <a:gd name="connsiteX54" fmla="*/ 714375 w 938212"/>
              <a:gd name="connsiteY54" fmla="*/ 676275 h 842962"/>
              <a:gd name="connsiteX55" fmla="*/ 719137 w 938212"/>
              <a:gd name="connsiteY55" fmla="*/ 690562 h 842962"/>
              <a:gd name="connsiteX56" fmla="*/ 747712 w 938212"/>
              <a:gd name="connsiteY56" fmla="*/ 704850 h 842962"/>
              <a:gd name="connsiteX57" fmla="*/ 757237 w 938212"/>
              <a:gd name="connsiteY57" fmla="*/ 719137 h 842962"/>
              <a:gd name="connsiteX58" fmla="*/ 776287 w 938212"/>
              <a:gd name="connsiteY58" fmla="*/ 723900 h 842962"/>
              <a:gd name="connsiteX59" fmla="*/ 833437 w 938212"/>
              <a:gd name="connsiteY59" fmla="*/ 728662 h 842962"/>
              <a:gd name="connsiteX60" fmla="*/ 904875 w 938212"/>
              <a:gd name="connsiteY60" fmla="*/ 723900 h 842962"/>
              <a:gd name="connsiteX61" fmla="*/ 928687 w 938212"/>
              <a:gd name="connsiteY61" fmla="*/ 719137 h 842962"/>
              <a:gd name="connsiteX62" fmla="*/ 938212 w 938212"/>
              <a:gd name="connsiteY62" fmla="*/ 704850 h 842962"/>
              <a:gd name="connsiteX63" fmla="*/ 923925 w 938212"/>
              <a:gd name="connsiteY63" fmla="*/ 676275 h 842962"/>
              <a:gd name="connsiteX64" fmla="*/ 909637 w 938212"/>
              <a:gd name="connsiteY64" fmla="*/ 647700 h 842962"/>
              <a:gd name="connsiteX65" fmla="*/ 900112 w 938212"/>
              <a:gd name="connsiteY65" fmla="*/ 619125 h 842962"/>
              <a:gd name="connsiteX66" fmla="*/ 895350 w 938212"/>
              <a:gd name="connsiteY66" fmla="*/ 566737 h 842962"/>
              <a:gd name="connsiteX67" fmla="*/ 885825 w 938212"/>
              <a:gd name="connsiteY67" fmla="*/ 514350 h 842962"/>
              <a:gd name="connsiteX68" fmla="*/ 876300 w 938212"/>
              <a:gd name="connsiteY68" fmla="*/ 500062 h 842962"/>
              <a:gd name="connsiteX69" fmla="*/ 866775 w 938212"/>
              <a:gd name="connsiteY69" fmla="*/ 481012 h 842962"/>
              <a:gd name="connsiteX70" fmla="*/ 862012 w 938212"/>
              <a:gd name="connsiteY70" fmla="*/ 452437 h 842962"/>
              <a:gd name="connsiteX71" fmla="*/ 857250 w 938212"/>
              <a:gd name="connsiteY71" fmla="*/ 371475 h 842962"/>
              <a:gd name="connsiteX72" fmla="*/ 842962 w 938212"/>
              <a:gd name="connsiteY72" fmla="*/ 328612 h 842962"/>
              <a:gd name="connsiteX73" fmla="*/ 819150 w 938212"/>
              <a:gd name="connsiteY73" fmla="*/ 257175 h 842962"/>
              <a:gd name="connsiteX74" fmla="*/ 814387 w 938212"/>
              <a:gd name="connsiteY74" fmla="*/ 238125 h 842962"/>
              <a:gd name="connsiteX75" fmla="*/ 800100 w 938212"/>
              <a:gd name="connsiteY75" fmla="*/ 195262 h 842962"/>
              <a:gd name="connsiteX76" fmla="*/ 771525 w 938212"/>
              <a:gd name="connsiteY76" fmla="*/ 152400 h 842962"/>
              <a:gd name="connsiteX77" fmla="*/ 766762 w 938212"/>
              <a:gd name="connsiteY77" fmla="*/ 138112 h 842962"/>
              <a:gd name="connsiteX78" fmla="*/ 747712 w 938212"/>
              <a:gd name="connsiteY78" fmla="*/ 109537 h 842962"/>
              <a:gd name="connsiteX79" fmla="*/ 728662 w 938212"/>
              <a:gd name="connsiteY79" fmla="*/ 52387 h 842962"/>
              <a:gd name="connsiteX80" fmla="*/ 719137 w 938212"/>
              <a:gd name="connsiteY80" fmla="*/ 23812 h 842962"/>
              <a:gd name="connsiteX81" fmla="*/ 700087 w 938212"/>
              <a:gd name="connsiteY81" fmla="*/ 0 h 8429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938212" h="842962">
                <a:moveTo>
                  <a:pt x="700087" y="0"/>
                </a:moveTo>
                <a:lnTo>
                  <a:pt x="700087" y="0"/>
                </a:lnTo>
                <a:cubicBezTo>
                  <a:pt x="685800" y="4762"/>
                  <a:pt x="671619" y="9858"/>
                  <a:pt x="657225" y="14287"/>
                </a:cubicBezTo>
                <a:cubicBezTo>
                  <a:pt x="650969" y="16212"/>
                  <a:pt x="644029" y="16123"/>
                  <a:pt x="638175" y="19050"/>
                </a:cubicBezTo>
                <a:cubicBezTo>
                  <a:pt x="572684" y="51796"/>
                  <a:pt x="634818" y="29695"/>
                  <a:pt x="595312" y="42862"/>
                </a:cubicBezTo>
                <a:cubicBezTo>
                  <a:pt x="585787" y="49212"/>
                  <a:pt x="577597" y="58291"/>
                  <a:pt x="566737" y="61912"/>
                </a:cubicBezTo>
                <a:cubicBezTo>
                  <a:pt x="561975" y="63500"/>
                  <a:pt x="556838" y="64237"/>
                  <a:pt x="552450" y="66675"/>
                </a:cubicBezTo>
                <a:cubicBezTo>
                  <a:pt x="542443" y="72235"/>
                  <a:pt x="523875" y="85725"/>
                  <a:pt x="523875" y="85725"/>
                </a:cubicBezTo>
                <a:lnTo>
                  <a:pt x="504825" y="114300"/>
                </a:lnTo>
                <a:cubicBezTo>
                  <a:pt x="502040" y="118477"/>
                  <a:pt x="502847" y="124410"/>
                  <a:pt x="500062" y="128587"/>
                </a:cubicBezTo>
                <a:cubicBezTo>
                  <a:pt x="496326" y="134191"/>
                  <a:pt x="490537" y="138112"/>
                  <a:pt x="485775" y="142875"/>
                </a:cubicBezTo>
                <a:cubicBezTo>
                  <a:pt x="480848" y="157654"/>
                  <a:pt x="480314" y="161501"/>
                  <a:pt x="471487" y="176212"/>
                </a:cubicBezTo>
                <a:cubicBezTo>
                  <a:pt x="465597" y="186028"/>
                  <a:pt x="458787" y="195262"/>
                  <a:pt x="452437" y="204787"/>
                </a:cubicBezTo>
                <a:lnTo>
                  <a:pt x="442912" y="219075"/>
                </a:lnTo>
                <a:cubicBezTo>
                  <a:pt x="439737" y="228600"/>
                  <a:pt x="437877" y="238670"/>
                  <a:pt x="433387" y="247650"/>
                </a:cubicBezTo>
                <a:cubicBezTo>
                  <a:pt x="421302" y="271819"/>
                  <a:pt x="427800" y="260793"/>
                  <a:pt x="414337" y="280987"/>
                </a:cubicBezTo>
                <a:cubicBezTo>
                  <a:pt x="412750" y="285750"/>
                  <a:pt x="411820" y="290785"/>
                  <a:pt x="409575" y="295275"/>
                </a:cubicBezTo>
                <a:cubicBezTo>
                  <a:pt x="404313" y="305799"/>
                  <a:pt x="392058" y="311096"/>
                  <a:pt x="404812" y="323850"/>
                </a:cubicBezTo>
                <a:cubicBezTo>
                  <a:pt x="408362" y="327400"/>
                  <a:pt x="414337" y="327025"/>
                  <a:pt x="419100" y="328612"/>
                </a:cubicBezTo>
                <a:cubicBezTo>
                  <a:pt x="420687" y="333375"/>
                  <a:pt x="423099" y="337938"/>
                  <a:pt x="423862" y="342900"/>
                </a:cubicBezTo>
                <a:cubicBezTo>
                  <a:pt x="426288" y="358669"/>
                  <a:pt x="423933" y="375276"/>
                  <a:pt x="428625" y="390525"/>
                </a:cubicBezTo>
                <a:cubicBezTo>
                  <a:pt x="430606" y="396962"/>
                  <a:pt x="438150" y="400050"/>
                  <a:pt x="442912" y="404812"/>
                </a:cubicBezTo>
                <a:cubicBezTo>
                  <a:pt x="438172" y="423774"/>
                  <a:pt x="442363" y="425164"/>
                  <a:pt x="423862" y="433387"/>
                </a:cubicBezTo>
                <a:cubicBezTo>
                  <a:pt x="414687" y="437465"/>
                  <a:pt x="395287" y="442912"/>
                  <a:pt x="395287" y="442912"/>
                </a:cubicBezTo>
                <a:cubicBezTo>
                  <a:pt x="392112" y="447675"/>
                  <a:pt x="389809" y="453152"/>
                  <a:pt x="385762" y="457200"/>
                </a:cubicBezTo>
                <a:cubicBezTo>
                  <a:pt x="381715" y="461247"/>
                  <a:pt x="375872" y="463061"/>
                  <a:pt x="371475" y="466725"/>
                </a:cubicBezTo>
                <a:cubicBezTo>
                  <a:pt x="366301" y="471037"/>
                  <a:pt x="362361" y="476700"/>
                  <a:pt x="357187" y="481012"/>
                </a:cubicBezTo>
                <a:cubicBezTo>
                  <a:pt x="352790" y="484676"/>
                  <a:pt x="347297" y="486873"/>
                  <a:pt x="342900" y="490537"/>
                </a:cubicBezTo>
                <a:cubicBezTo>
                  <a:pt x="319118" y="510356"/>
                  <a:pt x="339432" y="501218"/>
                  <a:pt x="314325" y="509587"/>
                </a:cubicBezTo>
                <a:cubicBezTo>
                  <a:pt x="309562" y="512762"/>
                  <a:pt x="305157" y="516552"/>
                  <a:pt x="300037" y="519112"/>
                </a:cubicBezTo>
                <a:cubicBezTo>
                  <a:pt x="288310" y="524976"/>
                  <a:pt x="268156" y="526807"/>
                  <a:pt x="257175" y="528637"/>
                </a:cubicBezTo>
                <a:cubicBezTo>
                  <a:pt x="247650" y="527050"/>
                  <a:pt x="238256" y="523875"/>
                  <a:pt x="228600" y="523875"/>
                </a:cubicBezTo>
                <a:cubicBezTo>
                  <a:pt x="221280" y="523875"/>
                  <a:pt x="195561" y="528488"/>
                  <a:pt x="185737" y="533400"/>
                </a:cubicBezTo>
                <a:cubicBezTo>
                  <a:pt x="148815" y="551861"/>
                  <a:pt x="193069" y="535720"/>
                  <a:pt x="157162" y="547687"/>
                </a:cubicBezTo>
                <a:cubicBezTo>
                  <a:pt x="152400" y="550862"/>
                  <a:pt x="147994" y="554652"/>
                  <a:pt x="142875" y="557212"/>
                </a:cubicBezTo>
                <a:cubicBezTo>
                  <a:pt x="138385" y="559457"/>
                  <a:pt x="132764" y="559190"/>
                  <a:pt x="128587" y="561975"/>
                </a:cubicBezTo>
                <a:cubicBezTo>
                  <a:pt x="122983" y="565711"/>
                  <a:pt x="119474" y="571950"/>
                  <a:pt x="114300" y="576262"/>
                </a:cubicBezTo>
                <a:cubicBezTo>
                  <a:pt x="109903" y="579926"/>
                  <a:pt x="104775" y="582612"/>
                  <a:pt x="100012" y="585787"/>
                </a:cubicBezTo>
                <a:cubicBezTo>
                  <a:pt x="98425" y="592137"/>
                  <a:pt x="94599" y="598324"/>
                  <a:pt x="95250" y="604837"/>
                </a:cubicBezTo>
                <a:cubicBezTo>
                  <a:pt x="95946" y="611796"/>
                  <a:pt x="105271" y="640477"/>
                  <a:pt x="114300" y="647700"/>
                </a:cubicBezTo>
                <a:cubicBezTo>
                  <a:pt x="118220" y="650836"/>
                  <a:pt x="123825" y="650875"/>
                  <a:pt x="128587" y="652462"/>
                </a:cubicBezTo>
                <a:cubicBezTo>
                  <a:pt x="131762" y="657225"/>
                  <a:pt x="137171" y="661104"/>
                  <a:pt x="138112" y="666750"/>
                </a:cubicBezTo>
                <a:cubicBezTo>
                  <a:pt x="138937" y="671702"/>
                  <a:pt x="136432" y="677075"/>
                  <a:pt x="133350" y="681037"/>
                </a:cubicBezTo>
                <a:cubicBezTo>
                  <a:pt x="125080" y="691670"/>
                  <a:pt x="112247" y="698404"/>
                  <a:pt x="104775" y="709612"/>
                </a:cubicBezTo>
                <a:cubicBezTo>
                  <a:pt x="91514" y="729504"/>
                  <a:pt x="99298" y="719853"/>
                  <a:pt x="80962" y="738187"/>
                </a:cubicBezTo>
                <a:cubicBezTo>
                  <a:pt x="79375" y="742950"/>
                  <a:pt x="78445" y="747985"/>
                  <a:pt x="76200" y="752475"/>
                </a:cubicBezTo>
                <a:cubicBezTo>
                  <a:pt x="73496" y="757883"/>
                  <a:pt x="54544" y="783655"/>
                  <a:pt x="52387" y="785812"/>
                </a:cubicBezTo>
                <a:cubicBezTo>
                  <a:pt x="48340" y="789859"/>
                  <a:pt x="42862" y="792162"/>
                  <a:pt x="38100" y="795337"/>
                </a:cubicBezTo>
                <a:lnTo>
                  <a:pt x="19050" y="823912"/>
                </a:lnTo>
                <a:cubicBezTo>
                  <a:pt x="15875" y="828675"/>
                  <a:pt x="8809" y="829390"/>
                  <a:pt x="4762" y="833437"/>
                </a:cubicBezTo>
                <a:cubicBezTo>
                  <a:pt x="2252" y="835947"/>
                  <a:pt x="1587" y="839787"/>
                  <a:pt x="0" y="842962"/>
                </a:cubicBezTo>
                <a:lnTo>
                  <a:pt x="652462" y="633412"/>
                </a:lnTo>
                <a:cubicBezTo>
                  <a:pt x="665162" y="639762"/>
                  <a:pt x="678930" y="644319"/>
                  <a:pt x="690562" y="652462"/>
                </a:cubicBezTo>
                <a:cubicBezTo>
                  <a:pt x="695251" y="655745"/>
                  <a:pt x="696040" y="662703"/>
                  <a:pt x="700087" y="666750"/>
                </a:cubicBezTo>
                <a:cubicBezTo>
                  <a:pt x="704134" y="670797"/>
                  <a:pt x="709612" y="673100"/>
                  <a:pt x="714375" y="676275"/>
                </a:cubicBezTo>
                <a:cubicBezTo>
                  <a:pt x="715962" y="681037"/>
                  <a:pt x="716001" y="686642"/>
                  <a:pt x="719137" y="690562"/>
                </a:cubicBezTo>
                <a:cubicBezTo>
                  <a:pt x="725851" y="698954"/>
                  <a:pt x="738301" y="701713"/>
                  <a:pt x="747712" y="704850"/>
                </a:cubicBezTo>
                <a:cubicBezTo>
                  <a:pt x="750887" y="709612"/>
                  <a:pt x="752475" y="715962"/>
                  <a:pt x="757237" y="719137"/>
                </a:cubicBezTo>
                <a:cubicBezTo>
                  <a:pt x="762683" y="722768"/>
                  <a:pt x="769792" y="723088"/>
                  <a:pt x="776287" y="723900"/>
                </a:cubicBezTo>
                <a:cubicBezTo>
                  <a:pt x="795255" y="726271"/>
                  <a:pt x="814387" y="727075"/>
                  <a:pt x="833437" y="728662"/>
                </a:cubicBezTo>
                <a:cubicBezTo>
                  <a:pt x="857250" y="727075"/>
                  <a:pt x="881128" y="726275"/>
                  <a:pt x="904875" y="723900"/>
                </a:cubicBezTo>
                <a:cubicBezTo>
                  <a:pt x="912929" y="723095"/>
                  <a:pt x="921659" y="723153"/>
                  <a:pt x="928687" y="719137"/>
                </a:cubicBezTo>
                <a:cubicBezTo>
                  <a:pt x="933657" y="716297"/>
                  <a:pt x="935037" y="709612"/>
                  <a:pt x="938212" y="704850"/>
                </a:cubicBezTo>
                <a:cubicBezTo>
                  <a:pt x="926245" y="668943"/>
                  <a:pt x="942386" y="713197"/>
                  <a:pt x="923925" y="676275"/>
                </a:cubicBezTo>
                <a:cubicBezTo>
                  <a:pt x="904207" y="636841"/>
                  <a:pt x="936933" y="688643"/>
                  <a:pt x="909637" y="647700"/>
                </a:cubicBezTo>
                <a:lnTo>
                  <a:pt x="900112" y="619125"/>
                </a:lnTo>
                <a:cubicBezTo>
                  <a:pt x="894567" y="602490"/>
                  <a:pt x="897399" y="584152"/>
                  <a:pt x="895350" y="566737"/>
                </a:cubicBezTo>
                <a:cubicBezTo>
                  <a:pt x="895045" y="564144"/>
                  <a:pt x="887628" y="519159"/>
                  <a:pt x="885825" y="514350"/>
                </a:cubicBezTo>
                <a:cubicBezTo>
                  <a:pt x="883815" y="508990"/>
                  <a:pt x="879140" y="505032"/>
                  <a:pt x="876300" y="500062"/>
                </a:cubicBezTo>
                <a:cubicBezTo>
                  <a:pt x="872778" y="493898"/>
                  <a:pt x="869950" y="487362"/>
                  <a:pt x="866775" y="481012"/>
                </a:cubicBezTo>
                <a:cubicBezTo>
                  <a:pt x="865187" y="471487"/>
                  <a:pt x="862849" y="462057"/>
                  <a:pt x="862012" y="452437"/>
                </a:cubicBezTo>
                <a:cubicBezTo>
                  <a:pt x="859670" y="425505"/>
                  <a:pt x="860746" y="398282"/>
                  <a:pt x="857250" y="371475"/>
                </a:cubicBezTo>
                <a:cubicBezTo>
                  <a:pt x="857249" y="371470"/>
                  <a:pt x="845344" y="335758"/>
                  <a:pt x="842962" y="328612"/>
                </a:cubicBezTo>
                <a:lnTo>
                  <a:pt x="819150" y="257175"/>
                </a:lnTo>
                <a:cubicBezTo>
                  <a:pt x="817080" y="250965"/>
                  <a:pt x="816268" y="244394"/>
                  <a:pt x="814387" y="238125"/>
                </a:cubicBezTo>
                <a:cubicBezTo>
                  <a:pt x="810059" y="223700"/>
                  <a:pt x="804862" y="209550"/>
                  <a:pt x="800100" y="195262"/>
                </a:cubicBezTo>
                <a:cubicBezTo>
                  <a:pt x="800099" y="195260"/>
                  <a:pt x="776288" y="159545"/>
                  <a:pt x="771525" y="152400"/>
                </a:cubicBezTo>
                <a:cubicBezTo>
                  <a:pt x="768740" y="148223"/>
                  <a:pt x="769200" y="142501"/>
                  <a:pt x="766762" y="138112"/>
                </a:cubicBezTo>
                <a:cubicBezTo>
                  <a:pt x="761203" y="128105"/>
                  <a:pt x="747712" y="109537"/>
                  <a:pt x="747712" y="109537"/>
                </a:cubicBezTo>
                <a:lnTo>
                  <a:pt x="728662" y="52387"/>
                </a:lnTo>
                <a:cubicBezTo>
                  <a:pt x="728661" y="52383"/>
                  <a:pt x="719139" y="23815"/>
                  <a:pt x="719137" y="23812"/>
                </a:cubicBezTo>
                <a:cubicBezTo>
                  <a:pt x="708731" y="8204"/>
                  <a:pt x="703262" y="3969"/>
                  <a:pt x="700087"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xdr:cNvSpPr/>
        </xdr:nvSpPr>
        <xdr:spPr>
          <a:xfrm>
            <a:off x="11077168" y="11777663"/>
            <a:ext cx="205195" cy="172787"/>
          </a:xfrm>
          <a:custGeom>
            <a:avLst/>
            <a:gdLst>
              <a:gd name="connsiteX0" fmla="*/ 205195 w 205195"/>
              <a:gd name="connsiteY0" fmla="*/ 0 h 172787"/>
              <a:gd name="connsiteX1" fmla="*/ 205195 w 205195"/>
              <a:gd name="connsiteY1" fmla="*/ 0 h 172787"/>
              <a:gd name="connsiteX2" fmla="*/ 176620 w 205195"/>
              <a:gd name="connsiteY2" fmla="*/ 33337 h 172787"/>
              <a:gd name="connsiteX3" fmla="*/ 162332 w 205195"/>
              <a:gd name="connsiteY3" fmla="*/ 38100 h 172787"/>
              <a:gd name="connsiteX4" fmla="*/ 148045 w 205195"/>
              <a:gd name="connsiteY4" fmla="*/ 47625 h 172787"/>
              <a:gd name="connsiteX5" fmla="*/ 119470 w 205195"/>
              <a:gd name="connsiteY5" fmla="*/ 57150 h 172787"/>
              <a:gd name="connsiteX6" fmla="*/ 90895 w 205195"/>
              <a:gd name="connsiteY6" fmla="*/ 66675 h 172787"/>
              <a:gd name="connsiteX7" fmla="*/ 62320 w 205195"/>
              <a:gd name="connsiteY7" fmla="*/ 76200 h 172787"/>
              <a:gd name="connsiteX8" fmla="*/ 48032 w 205195"/>
              <a:gd name="connsiteY8" fmla="*/ 85725 h 172787"/>
              <a:gd name="connsiteX9" fmla="*/ 28982 w 205195"/>
              <a:gd name="connsiteY9" fmla="*/ 114300 h 172787"/>
              <a:gd name="connsiteX10" fmla="*/ 19457 w 205195"/>
              <a:gd name="connsiteY10" fmla="*/ 128587 h 172787"/>
              <a:gd name="connsiteX11" fmla="*/ 9932 w 205195"/>
              <a:gd name="connsiteY11" fmla="*/ 157162 h 172787"/>
              <a:gd name="connsiteX12" fmla="*/ 407 w 205195"/>
              <a:gd name="connsiteY12" fmla="*/ 171450 h 172787"/>
              <a:gd name="connsiteX13" fmla="*/ 14695 w 205195"/>
              <a:gd name="connsiteY13" fmla="*/ 166687 h 172787"/>
              <a:gd name="connsiteX14" fmla="*/ 43270 w 205195"/>
              <a:gd name="connsiteY14" fmla="*/ 161925 h 172787"/>
              <a:gd name="connsiteX15" fmla="*/ 57557 w 205195"/>
              <a:gd name="connsiteY15" fmla="*/ 157162 h 172787"/>
              <a:gd name="connsiteX16" fmla="*/ 71845 w 205195"/>
              <a:gd name="connsiteY16" fmla="*/ 128587 h 172787"/>
              <a:gd name="connsiteX17" fmla="*/ 114707 w 205195"/>
              <a:gd name="connsiteY17" fmla="*/ 90487 h 172787"/>
              <a:gd name="connsiteX18" fmla="*/ 128995 w 205195"/>
              <a:gd name="connsiteY18" fmla="*/ 85725 h 172787"/>
              <a:gd name="connsiteX19" fmla="*/ 138520 w 205195"/>
              <a:gd name="connsiteY19" fmla="*/ 71437 h 172787"/>
              <a:gd name="connsiteX20" fmla="*/ 152807 w 205195"/>
              <a:gd name="connsiteY20" fmla="*/ 57150 h 172787"/>
              <a:gd name="connsiteX21" fmla="*/ 167095 w 205195"/>
              <a:gd name="connsiteY21" fmla="*/ 28575 h 172787"/>
              <a:gd name="connsiteX22" fmla="*/ 195670 w 205195"/>
              <a:gd name="connsiteY22" fmla="*/ 14287 h 172787"/>
              <a:gd name="connsiteX23" fmla="*/ 205195 w 205195"/>
              <a:gd name="connsiteY23" fmla="*/ 0 h 1727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Lst>
            <a:rect l="l" t="t" r="r" b="b"/>
            <a:pathLst>
              <a:path w="205195" h="172787">
                <a:moveTo>
                  <a:pt x="205195" y="0"/>
                </a:moveTo>
                <a:lnTo>
                  <a:pt x="205195" y="0"/>
                </a:lnTo>
                <a:cubicBezTo>
                  <a:pt x="195670" y="11112"/>
                  <a:pt x="187559" y="23614"/>
                  <a:pt x="176620" y="33337"/>
                </a:cubicBezTo>
                <a:cubicBezTo>
                  <a:pt x="172868" y="36672"/>
                  <a:pt x="166822" y="35855"/>
                  <a:pt x="162332" y="38100"/>
                </a:cubicBezTo>
                <a:cubicBezTo>
                  <a:pt x="157213" y="40660"/>
                  <a:pt x="153275" y="45300"/>
                  <a:pt x="148045" y="47625"/>
                </a:cubicBezTo>
                <a:cubicBezTo>
                  <a:pt x="138870" y="51703"/>
                  <a:pt x="128995" y="53975"/>
                  <a:pt x="119470" y="57150"/>
                </a:cubicBezTo>
                <a:lnTo>
                  <a:pt x="90895" y="66675"/>
                </a:lnTo>
                <a:cubicBezTo>
                  <a:pt x="90890" y="66677"/>
                  <a:pt x="62325" y="76196"/>
                  <a:pt x="62320" y="76200"/>
                </a:cubicBezTo>
                <a:lnTo>
                  <a:pt x="48032" y="85725"/>
                </a:lnTo>
                <a:lnTo>
                  <a:pt x="28982" y="114300"/>
                </a:lnTo>
                <a:lnTo>
                  <a:pt x="19457" y="128587"/>
                </a:lnTo>
                <a:lnTo>
                  <a:pt x="9932" y="157162"/>
                </a:lnTo>
                <a:cubicBezTo>
                  <a:pt x="8122" y="162592"/>
                  <a:pt x="-2153" y="166330"/>
                  <a:pt x="407" y="171450"/>
                </a:cubicBezTo>
                <a:cubicBezTo>
                  <a:pt x="2652" y="175940"/>
                  <a:pt x="9794" y="167776"/>
                  <a:pt x="14695" y="166687"/>
                </a:cubicBezTo>
                <a:cubicBezTo>
                  <a:pt x="24121" y="164592"/>
                  <a:pt x="33745" y="163512"/>
                  <a:pt x="43270" y="161925"/>
                </a:cubicBezTo>
                <a:cubicBezTo>
                  <a:pt x="48032" y="160337"/>
                  <a:pt x="53637" y="160298"/>
                  <a:pt x="57557" y="157162"/>
                </a:cubicBezTo>
                <a:cubicBezTo>
                  <a:pt x="78575" y="140348"/>
                  <a:pt x="57634" y="146858"/>
                  <a:pt x="71845" y="128587"/>
                </a:cubicBezTo>
                <a:cubicBezTo>
                  <a:pt x="79875" y="118263"/>
                  <a:pt x="99662" y="98009"/>
                  <a:pt x="114707" y="90487"/>
                </a:cubicBezTo>
                <a:cubicBezTo>
                  <a:pt x="119197" y="88242"/>
                  <a:pt x="124232" y="87312"/>
                  <a:pt x="128995" y="85725"/>
                </a:cubicBezTo>
                <a:cubicBezTo>
                  <a:pt x="132170" y="80962"/>
                  <a:pt x="134856" y="75834"/>
                  <a:pt x="138520" y="71437"/>
                </a:cubicBezTo>
                <a:cubicBezTo>
                  <a:pt x="142832" y="66263"/>
                  <a:pt x="149071" y="62754"/>
                  <a:pt x="152807" y="57150"/>
                </a:cubicBezTo>
                <a:cubicBezTo>
                  <a:pt x="168301" y="33910"/>
                  <a:pt x="144615" y="51055"/>
                  <a:pt x="167095" y="28575"/>
                </a:cubicBezTo>
                <a:cubicBezTo>
                  <a:pt x="185160" y="10510"/>
                  <a:pt x="176303" y="25908"/>
                  <a:pt x="195670" y="14287"/>
                </a:cubicBezTo>
                <a:cubicBezTo>
                  <a:pt x="199520" y="11977"/>
                  <a:pt x="203607" y="2381"/>
                  <a:pt x="205195" y="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35248</xdr:colOff>
      <xdr:row>83</xdr:row>
      <xdr:rowOff>146517</xdr:rowOff>
    </xdr:from>
    <xdr:to>
      <xdr:col>13</xdr:col>
      <xdr:colOff>278416</xdr:colOff>
      <xdr:row>86</xdr:row>
      <xdr:rowOff>103140</xdr:rowOff>
    </xdr:to>
    <xdr:sp macro="" textlink="">
      <xdr:nvSpPr>
        <xdr:cNvPr id="58" name="Vermont"/>
        <xdr:cNvSpPr/>
      </xdr:nvSpPr>
      <xdr:spPr>
        <a:xfrm>
          <a:off x="7464748" y="13989517"/>
          <a:ext cx="243168" cy="451923"/>
        </a:xfrm>
        <a:custGeom>
          <a:avLst/>
          <a:gdLst>
            <a:gd name="connsiteX0" fmla="*/ 0 w 247650"/>
            <a:gd name="connsiteY0" fmla="*/ 71437 h 467050"/>
            <a:gd name="connsiteX1" fmla="*/ 0 w 247650"/>
            <a:gd name="connsiteY1" fmla="*/ 71437 h 467050"/>
            <a:gd name="connsiteX2" fmla="*/ 14287 w 247650"/>
            <a:gd name="connsiteY2" fmla="*/ 109537 h 467050"/>
            <a:gd name="connsiteX3" fmla="*/ 23812 w 247650"/>
            <a:gd name="connsiteY3" fmla="*/ 128587 h 467050"/>
            <a:gd name="connsiteX4" fmla="*/ 33337 w 247650"/>
            <a:gd name="connsiteY4" fmla="*/ 157162 h 467050"/>
            <a:gd name="connsiteX5" fmla="*/ 42862 w 247650"/>
            <a:gd name="connsiteY5" fmla="*/ 171450 h 467050"/>
            <a:gd name="connsiteX6" fmla="*/ 52387 w 247650"/>
            <a:gd name="connsiteY6" fmla="*/ 204787 h 467050"/>
            <a:gd name="connsiteX7" fmla="*/ 61912 w 247650"/>
            <a:gd name="connsiteY7" fmla="*/ 233362 h 467050"/>
            <a:gd name="connsiteX8" fmla="*/ 71437 w 247650"/>
            <a:gd name="connsiteY8" fmla="*/ 247650 h 467050"/>
            <a:gd name="connsiteX9" fmla="*/ 76200 w 247650"/>
            <a:gd name="connsiteY9" fmla="*/ 261937 h 467050"/>
            <a:gd name="connsiteX10" fmla="*/ 95250 w 247650"/>
            <a:gd name="connsiteY10" fmla="*/ 290512 h 467050"/>
            <a:gd name="connsiteX11" fmla="*/ 104775 w 247650"/>
            <a:gd name="connsiteY11" fmla="*/ 304800 h 467050"/>
            <a:gd name="connsiteX12" fmla="*/ 114300 w 247650"/>
            <a:gd name="connsiteY12" fmla="*/ 319087 h 467050"/>
            <a:gd name="connsiteX13" fmla="*/ 133350 w 247650"/>
            <a:gd name="connsiteY13" fmla="*/ 361950 h 467050"/>
            <a:gd name="connsiteX14" fmla="*/ 142875 w 247650"/>
            <a:gd name="connsiteY14" fmla="*/ 390525 h 467050"/>
            <a:gd name="connsiteX15" fmla="*/ 147637 w 247650"/>
            <a:gd name="connsiteY15" fmla="*/ 419100 h 467050"/>
            <a:gd name="connsiteX16" fmla="*/ 152400 w 247650"/>
            <a:gd name="connsiteY16" fmla="*/ 433387 h 467050"/>
            <a:gd name="connsiteX17" fmla="*/ 157162 w 247650"/>
            <a:gd name="connsiteY17" fmla="*/ 466725 h 467050"/>
            <a:gd name="connsiteX18" fmla="*/ 204787 w 247650"/>
            <a:gd name="connsiteY18" fmla="*/ 457200 h 467050"/>
            <a:gd name="connsiteX19" fmla="*/ 219075 w 247650"/>
            <a:gd name="connsiteY19" fmla="*/ 447675 h 467050"/>
            <a:gd name="connsiteX20" fmla="*/ 247650 w 247650"/>
            <a:gd name="connsiteY20" fmla="*/ 433387 h 467050"/>
            <a:gd name="connsiteX21" fmla="*/ 242887 w 247650"/>
            <a:gd name="connsiteY21" fmla="*/ 400050 h 467050"/>
            <a:gd name="connsiteX22" fmla="*/ 238125 w 247650"/>
            <a:gd name="connsiteY22" fmla="*/ 361950 h 467050"/>
            <a:gd name="connsiteX23" fmla="*/ 233362 w 247650"/>
            <a:gd name="connsiteY23" fmla="*/ 342900 h 467050"/>
            <a:gd name="connsiteX24" fmla="*/ 223837 w 247650"/>
            <a:gd name="connsiteY24" fmla="*/ 314325 h 467050"/>
            <a:gd name="connsiteX25" fmla="*/ 233362 w 247650"/>
            <a:gd name="connsiteY25" fmla="*/ 142875 h 467050"/>
            <a:gd name="connsiteX26" fmla="*/ 238125 w 247650"/>
            <a:gd name="connsiteY26" fmla="*/ 128587 h 467050"/>
            <a:gd name="connsiteX27" fmla="*/ 238125 w 247650"/>
            <a:gd name="connsiteY27" fmla="*/ 61912 h 467050"/>
            <a:gd name="connsiteX28" fmla="*/ 228600 w 247650"/>
            <a:gd name="connsiteY28" fmla="*/ 47625 h 467050"/>
            <a:gd name="connsiteX29" fmla="*/ 219075 w 247650"/>
            <a:gd name="connsiteY29" fmla="*/ 28575 h 467050"/>
            <a:gd name="connsiteX30" fmla="*/ 209550 w 247650"/>
            <a:gd name="connsiteY30" fmla="*/ 0 h 467050"/>
            <a:gd name="connsiteX31" fmla="*/ 190500 w 247650"/>
            <a:gd name="connsiteY31" fmla="*/ 4762 h 467050"/>
            <a:gd name="connsiteX32" fmla="*/ 147637 w 247650"/>
            <a:gd name="connsiteY32" fmla="*/ 19050 h 467050"/>
            <a:gd name="connsiteX33" fmla="*/ 119062 w 247650"/>
            <a:gd name="connsiteY33" fmla="*/ 28575 h 467050"/>
            <a:gd name="connsiteX34" fmla="*/ 76200 w 247650"/>
            <a:gd name="connsiteY34" fmla="*/ 47625 h 467050"/>
            <a:gd name="connsiteX35" fmla="*/ 28575 w 247650"/>
            <a:gd name="connsiteY35" fmla="*/ 61912 h 467050"/>
            <a:gd name="connsiteX36" fmla="*/ 0 w 247650"/>
            <a:gd name="connsiteY36" fmla="*/ 71437 h 4670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Lst>
          <a:rect l="l" t="t" r="r" b="b"/>
          <a:pathLst>
            <a:path w="247650" h="467050">
              <a:moveTo>
                <a:pt x="0" y="71437"/>
              </a:moveTo>
              <a:lnTo>
                <a:pt x="0" y="71437"/>
              </a:lnTo>
              <a:cubicBezTo>
                <a:pt x="4762" y="84137"/>
                <a:pt x="9070" y="97017"/>
                <a:pt x="14287" y="109537"/>
              </a:cubicBezTo>
              <a:cubicBezTo>
                <a:pt x="17018" y="116090"/>
                <a:pt x="21175" y="121995"/>
                <a:pt x="23812" y="128587"/>
              </a:cubicBezTo>
              <a:cubicBezTo>
                <a:pt x="27541" y="137909"/>
                <a:pt x="27768" y="148808"/>
                <a:pt x="33337" y="157162"/>
              </a:cubicBezTo>
              <a:cubicBezTo>
                <a:pt x="36512" y="161925"/>
                <a:pt x="40302" y="166330"/>
                <a:pt x="42862" y="171450"/>
              </a:cubicBezTo>
              <a:cubicBezTo>
                <a:pt x="46866" y="179459"/>
                <a:pt x="50096" y="197149"/>
                <a:pt x="52387" y="204787"/>
              </a:cubicBezTo>
              <a:cubicBezTo>
                <a:pt x="55272" y="214404"/>
                <a:pt x="56343" y="225008"/>
                <a:pt x="61912" y="233362"/>
              </a:cubicBezTo>
              <a:cubicBezTo>
                <a:pt x="65087" y="238125"/>
                <a:pt x="68877" y="242530"/>
                <a:pt x="71437" y="247650"/>
              </a:cubicBezTo>
              <a:cubicBezTo>
                <a:pt x="73682" y="252140"/>
                <a:pt x="73762" y="257549"/>
                <a:pt x="76200" y="261937"/>
              </a:cubicBezTo>
              <a:cubicBezTo>
                <a:pt x="81760" y="271944"/>
                <a:pt x="88900" y="280987"/>
                <a:pt x="95250" y="290512"/>
              </a:cubicBezTo>
              <a:lnTo>
                <a:pt x="104775" y="304800"/>
              </a:lnTo>
              <a:lnTo>
                <a:pt x="114300" y="319087"/>
              </a:lnTo>
              <a:cubicBezTo>
                <a:pt x="125635" y="353092"/>
                <a:pt x="118256" y="339308"/>
                <a:pt x="133350" y="361950"/>
              </a:cubicBezTo>
              <a:lnTo>
                <a:pt x="142875" y="390525"/>
              </a:lnTo>
              <a:cubicBezTo>
                <a:pt x="145929" y="399686"/>
                <a:pt x="145542" y="409674"/>
                <a:pt x="147637" y="419100"/>
              </a:cubicBezTo>
              <a:cubicBezTo>
                <a:pt x="148726" y="424000"/>
                <a:pt x="150812" y="428625"/>
                <a:pt x="152400" y="433387"/>
              </a:cubicBezTo>
              <a:cubicBezTo>
                <a:pt x="153987" y="444500"/>
                <a:pt x="148639" y="459420"/>
                <a:pt x="157162" y="466725"/>
              </a:cubicBezTo>
              <a:cubicBezTo>
                <a:pt x="159797" y="468984"/>
                <a:pt x="198328" y="458815"/>
                <a:pt x="204787" y="457200"/>
              </a:cubicBezTo>
              <a:cubicBezTo>
                <a:pt x="209550" y="454025"/>
                <a:pt x="213955" y="450235"/>
                <a:pt x="219075" y="447675"/>
              </a:cubicBezTo>
              <a:cubicBezTo>
                <a:pt x="258511" y="427956"/>
                <a:pt x="206701" y="460685"/>
                <a:pt x="247650" y="433387"/>
              </a:cubicBezTo>
              <a:cubicBezTo>
                <a:pt x="246062" y="422275"/>
                <a:pt x="244371" y="411177"/>
                <a:pt x="242887" y="400050"/>
              </a:cubicBezTo>
              <a:cubicBezTo>
                <a:pt x="241195" y="387363"/>
                <a:pt x="240229" y="374575"/>
                <a:pt x="238125" y="361950"/>
              </a:cubicBezTo>
              <a:cubicBezTo>
                <a:pt x="237049" y="355494"/>
                <a:pt x="235243" y="349169"/>
                <a:pt x="233362" y="342900"/>
              </a:cubicBezTo>
              <a:cubicBezTo>
                <a:pt x="230477" y="333283"/>
                <a:pt x="223837" y="314325"/>
                <a:pt x="223837" y="314325"/>
              </a:cubicBezTo>
              <a:cubicBezTo>
                <a:pt x="225264" y="271525"/>
                <a:pt x="221508" y="196218"/>
                <a:pt x="233362" y="142875"/>
              </a:cubicBezTo>
              <a:cubicBezTo>
                <a:pt x="234451" y="137974"/>
                <a:pt x="236537" y="133350"/>
                <a:pt x="238125" y="128587"/>
              </a:cubicBezTo>
              <a:cubicBezTo>
                <a:pt x="241602" y="100764"/>
                <a:pt x="246864" y="88128"/>
                <a:pt x="238125" y="61912"/>
              </a:cubicBezTo>
              <a:cubicBezTo>
                <a:pt x="236315" y="56482"/>
                <a:pt x="231440" y="52595"/>
                <a:pt x="228600" y="47625"/>
              </a:cubicBezTo>
              <a:cubicBezTo>
                <a:pt x="225078" y="41461"/>
                <a:pt x="221712" y="35167"/>
                <a:pt x="219075" y="28575"/>
              </a:cubicBezTo>
              <a:cubicBezTo>
                <a:pt x="215346" y="19253"/>
                <a:pt x="209550" y="0"/>
                <a:pt x="209550" y="0"/>
              </a:cubicBezTo>
              <a:cubicBezTo>
                <a:pt x="203200" y="1587"/>
                <a:pt x="196769" y="2881"/>
                <a:pt x="190500" y="4762"/>
              </a:cubicBezTo>
              <a:cubicBezTo>
                <a:pt x="190467" y="4772"/>
                <a:pt x="154797" y="16663"/>
                <a:pt x="147637" y="19050"/>
              </a:cubicBezTo>
              <a:cubicBezTo>
                <a:pt x="147633" y="19051"/>
                <a:pt x="119065" y="28573"/>
                <a:pt x="119062" y="28575"/>
              </a:cubicBezTo>
              <a:cubicBezTo>
                <a:pt x="100299" y="41084"/>
                <a:pt x="103403" y="40825"/>
                <a:pt x="76200" y="47625"/>
              </a:cubicBezTo>
              <a:cubicBezTo>
                <a:pt x="47412" y="54821"/>
                <a:pt x="63356" y="50318"/>
                <a:pt x="28575" y="61912"/>
              </a:cubicBezTo>
              <a:lnTo>
                <a:pt x="0" y="7143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211741</xdr:colOff>
      <xdr:row>87</xdr:row>
      <xdr:rowOff>13915</xdr:rowOff>
    </xdr:from>
    <xdr:to>
      <xdr:col>13</xdr:col>
      <xdr:colOff>430816</xdr:colOff>
      <xdr:row>88</xdr:row>
      <xdr:rowOff>67329</xdr:rowOff>
    </xdr:to>
    <xdr:sp macro="" textlink="">
      <xdr:nvSpPr>
        <xdr:cNvPr id="59" name="Connecticut"/>
        <xdr:cNvSpPr/>
      </xdr:nvSpPr>
      <xdr:spPr>
        <a:xfrm>
          <a:off x="7641241" y="14517315"/>
          <a:ext cx="219075" cy="218514"/>
        </a:xfrm>
        <a:custGeom>
          <a:avLst/>
          <a:gdLst>
            <a:gd name="connsiteX0" fmla="*/ 0 w 219075"/>
            <a:gd name="connsiteY0" fmla="*/ 52387 h 228600"/>
            <a:gd name="connsiteX1" fmla="*/ 0 w 219075"/>
            <a:gd name="connsiteY1" fmla="*/ 52387 h 228600"/>
            <a:gd name="connsiteX2" fmla="*/ 4762 w 219075"/>
            <a:gd name="connsiteY2" fmla="*/ 104775 h 228600"/>
            <a:gd name="connsiteX3" fmla="*/ 9525 w 219075"/>
            <a:gd name="connsiteY3" fmla="*/ 123825 h 228600"/>
            <a:gd name="connsiteX4" fmla="*/ 23812 w 219075"/>
            <a:gd name="connsiteY4" fmla="*/ 180975 h 228600"/>
            <a:gd name="connsiteX5" fmla="*/ 28575 w 219075"/>
            <a:gd name="connsiteY5" fmla="*/ 195262 h 228600"/>
            <a:gd name="connsiteX6" fmla="*/ 33337 w 219075"/>
            <a:gd name="connsiteY6" fmla="*/ 209550 h 228600"/>
            <a:gd name="connsiteX7" fmla="*/ 61912 w 219075"/>
            <a:gd name="connsiteY7" fmla="*/ 228600 h 228600"/>
            <a:gd name="connsiteX8" fmla="*/ 114300 w 219075"/>
            <a:gd name="connsiteY8" fmla="*/ 185737 h 228600"/>
            <a:gd name="connsiteX9" fmla="*/ 123825 w 219075"/>
            <a:gd name="connsiteY9" fmla="*/ 171450 h 228600"/>
            <a:gd name="connsiteX10" fmla="*/ 138112 w 219075"/>
            <a:gd name="connsiteY10" fmla="*/ 161925 h 228600"/>
            <a:gd name="connsiteX11" fmla="*/ 152400 w 219075"/>
            <a:gd name="connsiteY11" fmla="*/ 147637 h 228600"/>
            <a:gd name="connsiteX12" fmla="*/ 180975 w 219075"/>
            <a:gd name="connsiteY12" fmla="*/ 128587 h 228600"/>
            <a:gd name="connsiteX13" fmla="*/ 209550 w 219075"/>
            <a:gd name="connsiteY13" fmla="*/ 104775 h 228600"/>
            <a:gd name="connsiteX14" fmla="*/ 219075 w 219075"/>
            <a:gd name="connsiteY14" fmla="*/ 90487 h 228600"/>
            <a:gd name="connsiteX15" fmla="*/ 209550 w 219075"/>
            <a:gd name="connsiteY15" fmla="*/ 61912 h 228600"/>
            <a:gd name="connsiteX16" fmla="*/ 200025 w 219075"/>
            <a:gd name="connsiteY16" fmla="*/ 33337 h 228600"/>
            <a:gd name="connsiteX17" fmla="*/ 195262 w 219075"/>
            <a:gd name="connsiteY17" fmla="*/ 0 h 228600"/>
            <a:gd name="connsiteX18" fmla="*/ 0 w 219075"/>
            <a:gd name="connsiteY18" fmla="*/ 52387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219075" h="228600">
              <a:moveTo>
                <a:pt x="0" y="52387"/>
              </a:moveTo>
              <a:lnTo>
                <a:pt x="0" y="52387"/>
              </a:lnTo>
              <a:cubicBezTo>
                <a:pt x="1587" y="69850"/>
                <a:pt x="2445" y="87394"/>
                <a:pt x="4762" y="104775"/>
              </a:cubicBezTo>
              <a:cubicBezTo>
                <a:pt x="5627" y="111263"/>
                <a:pt x="8241" y="117407"/>
                <a:pt x="9525" y="123825"/>
              </a:cubicBezTo>
              <a:cubicBezTo>
                <a:pt x="19145" y="171923"/>
                <a:pt x="7899" y="133237"/>
                <a:pt x="23812" y="180975"/>
              </a:cubicBezTo>
              <a:lnTo>
                <a:pt x="28575" y="195262"/>
              </a:lnTo>
              <a:cubicBezTo>
                <a:pt x="30163" y="200025"/>
                <a:pt x="29160" y="206765"/>
                <a:pt x="33337" y="209550"/>
              </a:cubicBezTo>
              <a:lnTo>
                <a:pt x="61912" y="228600"/>
              </a:lnTo>
              <a:cubicBezTo>
                <a:pt x="86355" y="216379"/>
                <a:pt x="95120" y="214506"/>
                <a:pt x="114300" y="185737"/>
              </a:cubicBezTo>
              <a:cubicBezTo>
                <a:pt x="117475" y="180975"/>
                <a:pt x="119778" y="175497"/>
                <a:pt x="123825" y="171450"/>
              </a:cubicBezTo>
              <a:cubicBezTo>
                <a:pt x="127872" y="167403"/>
                <a:pt x="133715" y="165589"/>
                <a:pt x="138112" y="161925"/>
              </a:cubicBezTo>
              <a:cubicBezTo>
                <a:pt x="143286" y="157613"/>
                <a:pt x="147083" y="151772"/>
                <a:pt x="152400" y="147637"/>
              </a:cubicBezTo>
              <a:cubicBezTo>
                <a:pt x="161436" y="140609"/>
                <a:pt x="172880" y="136682"/>
                <a:pt x="180975" y="128587"/>
              </a:cubicBezTo>
              <a:cubicBezTo>
                <a:pt x="199309" y="110253"/>
                <a:pt x="189658" y="118036"/>
                <a:pt x="209550" y="104775"/>
              </a:cubicBezTo>
              <a:cubicBezTo>
                <a:pt x="212725" y="100012"/>
                <a:pt x="219075" y="96211"/>
                <a:pt x="219075" y="90487"/>
              </a:cubicBezTo>
              <a:cubicBezTo>
                <a:pt x="219075" y="80447"/>
                <a:pt x="212725" y="71437"/>
                <a:pt x="209550" y="61912"/>
              </a:cubicBezTo>
              <a:cubicBezTo>
                <a:pt x="209546" y="61901"/>
                <a:pt x="200027" y="33348"/>
                <a:pt x="200025" y="33337"/>
              </a:cubicBezTo>
              <a:cubicBezTo>
                <a:pt x="195001" y="3196"/>
                <a:pt x="195262" y="14418"/>
                <a:pt x="195262" y="0"/>
              </a:cubicBezTo>
              <a:lnTo>
                <a:pt x="0" y="52387"/>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411766</xdr:colOff>
      <xdr:row>86</xdr:row>
      <xdr:rowOff>159965</xdr:rowOff>
    </xdr:from>
    <xdr:to>
      <xdr:col>13</xdr:col>
      <xdr:colOff>516088</xdr:colOff>
      <xdr:row>87</xdr:row>
      <xdr:rowOff>94597</xdr:rowOff>
    </xdr:to>
    <xdr:sp macro="" textlink="">
      <xdr:nvSpPr>
        <xdr:cNvPr id="60" name="Rhode_Island"/>
        <xdr:cNvSpPr/>
      </xdr:nvSpPr>
      <xdr:spPr>
        <a:xfrm>
          <a:off x="7841266" y="14498265"/>
          <a:ext cx="104322" cy="99732"/>
        </a:xfrm>
        <a:custGeom>
          <a:avLst/>
          <a:gdLst>
            <a:gd name="connsiteX0" fmla="*/ 0 w 100012"/>
            <a:gd name="connsiteY0" fmla="*/ 9525 h 104775"/>
            <a:gd name="connsiteX1" fmla="*/ 0 w 100012"/>
            <a:gd name="connsiteY1" fmla="*/ 9525 h 104775"/>
            <a:gd name="connsiteX2" fmla="*/ 14287 w 100012"/>
            <a:gd name="connsiteY2" fmla="*/ 47625 h 104775"/>
            <a:gd name="connsiteX3" fmla="*/ 19050 w 100012"/>
            <a:gd name="connsiteY3" fmla="*/ 61912 h 104775"/>
            <a:gd name="connsiteX4" fmla="*/ 33337 w 100012"/>
            <a:gd name="connsiteY4" fmla="*/ 100012 h 104775"/>
            <a:gd name="connsiteX5" fmla="*/ 47625 w 100012"/>
            <a:gd name="connsiteY5" fmla="*/ 104775 h 104775"/>
            <a:gd name="connsiteX6" fmla="*/ 66675 w 100012"/>
            <a:gd name="connsiteY6" fmla="*/ 100012 h 104775"/>
            <a:gd name="connsiteX7" fmla="*/ 80962 w 100012"/>
            <a:gd name="connsiteY7" fmla="*/ 57150 h 104775"/>
            <a:gd name="connsiteX8" fmla="*/ 85725 w 100012"/>
            <a:gd name="connsiteY8" fmla="*/ 42862 h 104775"/>
            <a:gd name="connsiteX9" fmla="*/ 100012 w 100012"/>
            <a:gd name="connsiteY9" fmla="*/ 38100 h 104775"/>
            <a:gd name="connsiteX10" fmla="*/ 80962 w 100012"/>
            <a:gd name="connsiteY10" fmla="*/ 9525 h 104775"/>
            <a:gd name="connsiteX11" fmla="*/ 52387 w 100012"/>
            <a:gd name="connsiteY11" fmla="*/ 0 h 104775"/>
            <a:gd name="connsiteX12" fmla="*/ 0 w 100012"/>
            <a:gd name="connsiteY12" fmla="*/ 9525 h 1047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00012" h="104775">
              <a:moveTo>
                <a:pt x="0" y="9525"/>
              </a:moveTo>
              <a:lnTo>
                <a:pt x="0" y="9525"/>
              </a:lnTo>
              <a:cubicBezTo>
                <a:pt x="4762" y="22225"/>
                <a:pt x="9652" y="34878"/>
                <a:pt x="14287" y="47625"/>
              </a:cubicBezTo>
              <a:cubicBezTo>
                <a:pt x="16003" y="52343"/>
                <a:pt x="17832" y="57042"/>
                <a:pt x="19050" y="61912"/>
              </a:cubicBezTo>
              <a:cubicBezTo>
                <a:pt x="22439" y="75467"/>
                <a:pt x="21086" y="90212"/>
                <a:pt x="33337" y="100012"/>
              </a:cubicBezTo>
              <a:cubicBezTo>
                <a:pt x="37257" y="103148"/>
                <a:pt x="42862" y="103187"/>
                <a:pt x="47625" y="104775"/>
              </a:cubicBezTo>
              <a:cubicBezTo>
                <a:pt x="53975" y="103187"/>
                <a:pt x="62415" y="104982"/>
                <a:pt x="66675" y="100012"/>
              </a:cubicBezTo>
              <a:cubicBezTo>
                <a:pt x="66677" y="100010"/>
                <a:pt x="78580" y="64295"/>
                <a:pt x="80962" y="57150"/>
              </a:cubicBezTo>
              <a:cubicBezTo>
                <a:pt x="82550" y="52387"/>
                <a:pt x="80962" y="44449"/>
                <a:pt x="85725" y="42862"/>
              </a:cubicBezTo>
              <a:lnTo>
                <a:pt x="100012" y="38100"/>
              </a:lnTo>
              <a:cubicBezTo>
                <a:pt x="93662" y="28575"/>
                <a:pt x="91822" y="13145"/>
                <a:pt x="80962" y="9525"/>
              </a:cubicBezTo>
              <a:lnTo>
                <a:pt x="52387" y="0"/>
              </a:lnTo>
              <a:cubicBezTo>
                <a:pt x="20310" y="5346"/>
                <a:pt x="8731" y="7937"/>
                <a:pt x="0" y="95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178403</xdr:colOff>
      <xdr:row>85</xdr:row>
      <xdr:rowOff>144369</xdr:rowOff>
    </xdr:from>
    <xdr:to>
      <xdr:col>14</xdr:col>
      <xdr:colOff>55698</xdr:colOff>
      <xdr:row>87</xdr:row>
      <xdr:rowOff>56497</xdr:rowOff>
    </xdr:to>
    <xdr:sp macro="" textlink="">
      <xdr:nvSpPr>
        <xdr:cNvPr id="61" name="Massachusetts"/>
        <xdr:cNvSpPr/>
      </xdr:nvSpPr>
      <xdr:spPr>
        <a:xfrm>
          <a:off x="7607903" y="14317569"/>
          <a:ext cx="486895" cy="242328"/>
        </a:xfrm>
        <a:custGeom>
          <a:avLst/>
          <a:gdLst>
            <a:gd name="connsiteX0" fmla="*/ 14288 w 485775"/>
            <a:gd name="connsiteY0" fmla="*/ 123825 h 252413"/>
            <a:gd name="connsiteX1" fmla="*/ 14288 w 485775"/>
            <a:gd name="connsiteY1" fmla="*/ 123825 h 252413"/>
            <a:gd name="connsiteX2" fmla="*/ 4763 w 485775"/>
            <a:gd name="connsiteY2" fmla="*/ 171450 h 252413"/>
            <a:gd name="connsiteX3" fmla="*/ 0 w 485775"/>
            <a:gd name="connsiteY3" fmla="*/ 185738 h 252413"/>
            <a:gd name="connsiteX4" fmla="*/ 9525 w 485775"/>
            <a:gd name="connsiteY4" fmla="*/ 228600 h 252413"/>
            <a:gd name="connsiteX5" fmla="*/ 28575 w 485775"/>
            <a:gd name="connsiteY5" fmla="*/ 252413 h 252413"/>
            <a:gd name="connsiteX6" fmla="*/ 285750 w 485775"/>
            <a:gd name="connsiteY6" fmla="*/ 180975 h 252413"/>
            <a:gd name="connsiteX7" fmla="*/ 323850 w 485775"/>
            <a:gd name="connsiteY7" fmla="*/ 195263 h 252413"/>
            <a:gd name="connsiteX8" fmla="*/ 328613 w 485775"/>
            <a:gd name="connsiteY8" fmla="*/ 209550 h 252413"/>
            <a:gd name="connsiteX9" fmla="*/ 342900 w 485775"/>
            <a:gd name="connsiteY9" fmla="*/ 223838 h 252413"/>
            <a:gd name="connsiteX10" fmla="*/ 347663 w 485775"/>
            <a:gd name="connsiteY10" fmla="*/ 238125 h 252413"/>
            <a:gd name="connsiteX11" fmla="*/ 390525 w 485775"/>
            <a:gd name="connsiteY11" fmla="*/ 223838 h 252413"/>
            <a:gd name="connsiteX12" fmla="*/ 409575 w 485775"/>
            <a:gd name="connsiteY12" fmla="*/ 209550 h 252413"/>
            <a:gd name="connsiteX13" fmla="*/ 442913 w 485775"/>
            <a:gd name="connsiteY13" fmla="*/ 204788 h 252413"/>
            <a:gd name="connsiteX14" fmla="*/ 476250 w 485775"/>
            <a:gd name="connsiteY14" fmla="*/ 161925 h 252413"/>
            <a:gd name="connsiteX15" fmla="*/ 485775 w 485775"/>
            <a:gd name="connsiteY15" fmla="*/ 147638 h 252413"/>
            <a:gd name="connsiteX16" fmla="*/ 476250 w 485775"/>
            <a:gd name="connsiteY16" fmla="*/ 100013 h 252413"/>
            <a:gd name="connsiteX17" fmla="*/ 466725 w 485775"/>
            <a:gd name="connsiteY17" fmla="*/ 85725 h 252413"/>
            <a:gd name="connsiteX18" fmla="*/ 438150 w 485775"/>
            <a:gd name="connsiteY18" fmla="*/ 76200 h 252413"/>
            <a:gd name="connsiteX19" fmla="*/ 428625 w 485775"/>
            <a:gd name="connsiteY19" fmla="*/ 90488 h 252413"/>
            <a:gd name="connsiteX20" fmla="*/ 438150 w 485775"/>
            <a:gd name="connsiteY20" fmla="*/ 128588 h 252413"/>
            <a:gd name="connsiteX21" fmla="*/ 433388 w 485775"/>
            <a:gd name="connsiteY21" fmla="*/ 142875 h 252413"/>
            <a:gd name="connsiteX22" fmla="*/ 385763 w 485775"/>
            <a:gd name="connsiteY22" fmla="*/ 142875 h 252413"/>
            <a:gd name="connsiteX23" fmla="*/ 371475 w 485775"/>
            <a:gd name="connsiteY23" fmla="*/ 138113 h 252413"/>
            <a:gd name="connsiteX24" fmla="*/ 366713 w 485775"/>
            <a:gd name="connsiteY24" fmla="*/ 123825 h 252413"/>
            <a:gd name="connsiteX25" fmla="*/ 333375 w 485775"/>
            <a:gd name="connsiteY25" fmla="*/ 80963 h 252413"/>
            <a:gd name="connsiteX26" fmla="*/ 323850 w 485775"/>
            <a:gd name="connsiteY26" fmla="*/ 52388 h 252413"/>
            <a:gd name="connsiteX27" fmla="*/ 319088 w 485775"/>
            <a:gd name="connsiteY27" fmla="*/ 4763 h 252413"/>
            <a:gd name="connsiteX28" fmla="*/ 304800 w 485775"/>
            <a:gd name="connsiteY28" fmla="*/ 0 h 252413"/>
            <a:gd name="connsiteX29" fmla="*/ 280988 w 485775"/>
            <a:gd name="connsiteY29" fmla="*/ 4763 h 252413"/>
            <a:gd name="connsiteX30" fmla="*/ 266700 w 485775"/>
            <a:gd name="connsiteY30" fmla="*/ 19050 h 252413"/>
            <a:gd name="connsiteX31" fmla="*/ 233363 w 485775"/>
            <a:gd name="connsiteY31" fmla="*/ 57150 h 252413"/>
            <a:gd name="connsiteX32" fmla="*/ 204788 w 485775"/>
            <a:gd name="connsiteY32" fmla="*/ 66675 h 252413"/>
            <a:gd name="connsiteX33" fmla="*/ 176213 w 485775"/>
            <a:gd name="connsiteY33" fmla="*/ 76200 h 252413"/>
            <a:gd name="connsiteX34" fmla="*/ 161925 w 485775"/>
            <a:gd name="connsiteY34" fmla="*/ 80963 h 252413"/>
            <a:gd name="connsiteX35" fmla="*/ 147638 w 485775"/>
            <a:gd name="connsiteY35" fmla="*/ 85725 h 252413"/>
            <a:gd name="connsiteX36" fmla="*/ 133350 w 485775"/>
            <a:gd name="connsiteY36" fmla="*/ 95250 h 252413"/>
            <a:gd name="connsiteX37" fmla="*/ 104775 w 485775"/>
            <a:gd name="connsiteY37" fmla="*/ 104775 h 252413"/>
            <a:gd name="connsiteX38" fmla="*/ 71438 w 485775"/>
            <a:gd name="connsiteY38" fmla="*/ 114300 h 252413"/>
            <a:gd name="connsiteX39" fmla="*/ 33338 w 485775"/>
            <a:gd name="connsiteY39" fmla="*/ 119063 h 252413"/>
            <a:gd name="connsiteX40" fmla="*/ 14288 w 485775"/>
            <a:gd name="connsiteY40" fmla="*/ 123825 h 25241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Lst>
          <a:rect l="l" t="t" r="r" b="b"/>
          <a:pathLst>
            <a:path w="485775" h="252413">
              <a:moveTo>
                <a:pt x="14288" y="123825"/>
              </a:moveTo>
              <a:lnTo>
                <a:pt x="14288" y="123825"/>
              </a:lnTo>
              <a:cubicBezTo>
                <a:pt x="11113" y="139700"/>
                <a:pt x="8403" y="155675"/>
                <a:pt x="4763" y="171450"/>
              </a:cubicBezTo>
              <a:cubicBezTo>
                <a:pt x="3634" y="176342"/>
                <a:pt x="0" y="180718"/>
                <a:pt x="0" y="185738"/>
              </a:cubicBezTo>
              <a:cubicBezTo>
                <a:pt x="0" y="193051"/>
                <a:pt x="4615" y="218779"/>
                <a:pt x="9525" y="228600"/>
              </a:cubicBezTo>
              <a:cubicBezTo>
                <a:pt x="15533" y="240616"/>
                <a:pt x="19715" y="243553"/>
                <a:pt x="28575" y="252413"/>
              </a:cubicBezTo>
              <a:lnTo>
                <a:pt x="285750" y="180975"/>
              </a:lnTo>
              <a:cubicBezTo>
                <a:pt x="298450" y="185738"/>
                <a:pt x="312564" y="187739"/>
                <a:pt x="323850" y="195263"/>
              </a:cubicBezTo>
              <a:cubicBezTo>
                <a:pt x="328027" y="198048"/>
                <a:pt x="325828" y="205373"/>
                <a:pt x="328613" y="209550"/>
              </a:cubicBezTo>
              <a:cubicBezTo>
                <a:pt x="332349" y="215154"/>
                <a:pt x="338138" y="219075"/>
                <a:pt x="342900" y="223838"/>
              </a:cubicBezTo>
              <a:cubicBezTo>
                <a:pt x="344488" y="228600"/>
                <a:pt x="342836" y="236746"/>
                <a:pt x="347663" y="238125"/>
              </a:cubicBezTo>
              <a:cubicBezTo>
                <a:pt x="364611" y="242967"/>
                <a:pt x="378442" y="232469"/>
                <a:pt x="390525" y="223838"/>
              </a:cubicBezTo>
              <a:cubicBezTo>
                <a:pt x="396984" y="219224"/>
                <a:pt x="402115" y="212263"/>
                <a:pt x="409575" y="209550"/>
              </a:cubicBezTo>
              <a:cubicBezTo>
                <a:pt x="420125" y="205714"/>
                <a:pt x="431800" y="206375"/>
                <a:pt x="442913" y="204788"/>
              </a:cubicBezTo>
              <a:cubicBezTo>
                <a:pt x="465295" y="182405"/>
                <a:pt x="453463" y="196105"/>
                <a:pt x="476250" y="161925"/>
              </a:cubicBezTo>
              <a:lnTo>
                <a:pt x="485775" y="147638"/>
              </a:lnTo>
              <a:cubicBezTo>
                <a:pt x="484019" y="135345"/>
                <a:pt x="482901" y="113316"/>
                <a:pt x="476250" y="100013"/>
              </a:cubicBezTo>
              <a:cubicBezTo>
                <a:pt x="473690" y="94893"/>
                <a:pt x="471579" y="88759"/>
                <a:pt x="466725" y="85725"/>
              </a:cubicBezTo>
              <a:cubicBezTo>
                <a:pt x="458211" y="80404"/>
                <a:pt x="438150" y="76200"/>
                <a:pt x="438150" y="76200"/>
              </a:cubicBezTo>
              <a:cubicBezTo>
                <a:pt x="434975" y="80963"/>
                <a:pt x="429335" y="84808"/>
                <a:pt x="428625" y="90488"/>
              </a:cubicBezTo>
              <a:cubicBezTo>
                <a:pt x="427581" y="98844"/>
                <a:pt x="435041" y="119260"/>
                <a:pt x="438150" y="128588"/>
              </a:cubicBezTo>
              <a:cubicBezTo>
                <a:pt x="436563" y="133350"/>
                <a:pt x="436938" y="139325"/>
                <a:pt x="433388" y="142875"/>
              </a:cubicBezTo>
              <a:cubicBezTo>
                <a:pt x="422997" y="153266"/>
                <a:pt x="391546" y="143701"/>
                <a:pt x="385763" y="142875"/>
              </a:cubicBezTo>
              <a:cubicBezTo>
                <a:pt x="381000" y="141288"/>
                <a:pt x="375025" y="141663"/>
                <a:pt x="371475" y="138113"/>
              </a:cubicBezTo>
              <a:cubicBezTo>
                <a:pt x="367925" y="134563"/>
                <a:pt x="369151" y="128213"/>
                <a:pt x="366713" y="123825"/>
              </a:cubicBezTo>
              <a:cubicBezTo>
                <a:pt x="352472" y="98190"/>
                <a:pt x="350731" y="98317"/>
                <a:pt x="333375" y="80963"/>
              </a:cubicBezTo>
              <a:cubicBezTo>
                <a:pt x="330200" y="71438"/>
                <a:pt x="324849" y="62378"/>
                <a:pt x="323850" y="52388"/>
              </a:cubicBezTo>
              <a:cubicBezTo>
                <a:pt x="322263" y="36513"/>
                <a:pt x="324540" y="19757"/>
                <a:pt x="319088" y="4763"/>
              </a:cubicBezTo>
              <a:cubicBezTo>
                <a:pt x="317372" y="45"/>
                <a:pt x="309563" y="1588"/>
                <a:pt x="304800" y="0"/>
              </a:cubicBezTo>
              <a:cubicBezTo>
                <a:pt x="296863" y="1588"/>
                <a:pt x="288228" y="1143"/>
                <a:pt x="280988" y="4763"/>
              </a:cubicBezTo>
              <a:cubicBezTo>
                <a:pt x="274964" y="7775"/>
                <a:pt x="270835" y="13734"/>
                <a:pt x="266700" y="19050"/>
              </a:cubicBezTo>
              <a:cubicBezTo>
                <a:pt x="251395" y="38728"/>
                <a:pt x="253715" y="48104"/>
                <a:pt x="233363" y="57150"/>
              </a:cubicBezTo>
              <a:cubicBezTo>
                <a:pt x="224188" y="61228"/>
                <a:pt x="214313" y="63500"/>
                <a:pt x="204788" y="66675"/>
              </a:cubicBezTo>
              <a:lnTo>
                <a:pt x="176213" y="76200"/>
              </a:lnTo>
              <a:lnTo>
                <a:pt x="161925" y="80963"/>
              </a:lnTo>
              <a:lnTo>
                <a:pt x="147638" y="85725"/>
              </a:lnTo>
              <a:cubicBezTo>
                <a:pt x="142875" y="88900"/>
                <a:pt x="138581" y="92925"/>
                <a:pt x="133350" y="95250"/>
              </a:cubicBezTo>
              <a:cubicBezTo>
                <a:pt x="124175" y="99328"/>
                <a:pt x="114300" y="101600"/>
                <a:pt x="104775" y="104775"/>
              </a:cubicBezTo>
              <a:cubicBezTo>
                <a:pt x="93444" y="108552"/>
                <a:pt x="83408" y="112305"/>
                <a:pt x="71438" y="114300"/>
              </a:cubicBezTo>
              <a:cubicBezTo>
                <a:pt x="58813" y="116404"/>
                <a:pt x="46038" y="117475"/>
                <a:pt x="33338" y="119063"/>
              </a:cubicBezTo>
              <a:cubicBezTo>
                <a:pt x="16920" y="124535"/>
                <a:pt x="17463" y="123031"/>
                <a:pt x="14288" y="123825"/>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240316</xdr:colOff>
      <xdr:row>83</xdr:row>
      <xdr:rowOff>75360</xdr:rowOff>
    </xdr:from>
    <xdr:to>
      <xdr:col>13</xdr:col>
      <xdr:colOff>464153</xdr:colOff>
      <xdr:row>86</xdr:row>
      <xdr:rowOff>74676</xdr:rowOff>
    </xdr:to>
    <xdr:sp macro="" textlink="">
      <xdr:nvSpPr>
        <xdr:cNvPr id="62" name="New_Hampshire"/>
        <xdr:cNvSpPr/>
      </xdr:nvSpPr>
      <xdr:spPr>
        <a:xfrm>
          <a:off x="7669816" y="13918360"/>
          <a:ext cx="223837" cy="494616"/>
        </a:xfrm>
        <a:custGeom>
          <a:avLst/>
          <a:gdLst>
            <a:gd name="connsiteX0" fmla="*/ 38100 w 223837"/>
            <a:gd name="connsiteY0" fmla="*/ 0 h 514786"/>
            <a:gd name="connsiteX1" fmla="*/ 38100 w 223837"/>
            <a:gd name="connsiteY1" fmla="*/ 0 h 514786"/>
            <a:gd name="connsiteX2" fmla="*/ 14287 w 223837"/>
            <a:gd name="connsiteY2" fmla="*/ 33337 h 514786"/>
            <a:gd name="connsiteX3" fmla="*/ 4762 w 223837"/>
            <a:gd name="connsiteY3" fmla="*/ 61912 h 514786"/>
            <a:gd name="connsiteX4" fmla="*/ 0 w 223837"/>
            <a:gd name="connsiteY4" fmla="*/ 76200 h 514786"/>
            <a:gd name="connsiteX5" fmla="*/ 19050 w 223837"/>
            <a:gd name="connsiteY5" fmla="*/ 95250 h 514786"/>
            <a:gd name="connsiteX6" fmla="*/ 38100 w 223837"/>
            <a:gd name="connsiteY6" fmla="*/ 123825 h 514786"/>
            <a:gd name="connsiteX7" fmla="*/ 42862 w 223837"/>
            <a:gd name="connsiteY7" fmla="*/ 138112 h 514786"/>
            <a:gd name="connsiteX8" fmla="*/ 52387 w 223837"/>
            <a:gd name="connsiteY8" fmla="*/ 152400 h 514786"/>
            <a:gd name="connsiteX9" fmla="*/ 47625 w 223837"/>
            <a:gd name="connsiteY9" fmla="*/ 180975 h 514786"/>
            <a:gd name="connsiteX10" fmla="*/ 33337 w 223837"/>
            <a:gd name="connsiteY10" fmla="*/ 223837 h 514786"/>
            <a:gd name="connsiteX11" fmla="*/ 28575 w 223837"/>
            <a:gd name="connsiteY11" fmla="*/ 238125 h 514786"/>
            <a:gd name="connsiteX12" fmla="*/ 28575 w 223837"/>
            <a:gd name="connsiteY12" fmla="*/ 404812 h 514786"/>
            <a:gd name="connsiteX13" fmla="*/ 33337 w 223837"/>
            <a:gd name="connsiteY13" fmla="*/ 442912 h 514786"/>
            <a:gd name="connsiteX14" fmla="*/ 42862 w 223837"/>
            <a:gd name="connsiteY14" fmla="*/ 481012 h 514786"/>
            <a:gd name="connsiteX15" fmla="*/ 52387 w 223837"/>
            <a:gd name="connsiteY15" fmla="*/ 495300 h 514786"/>
            <a:gd name="connsiteX16" fmla="*/ 57150 w 223837"/>
            <a:gd name="connsiteY16" fmla="*/ 514350 h 514786"/>
            <a:gd name="connsiteX17" fmla="*/ 109537 w 223837"/>
            <a:gd name="connsiteY17" fmla="*/ 504825 h 514786"/>
            <a:gd name="connsiteX18" fmla="*/ 123825 w 223837"/>
            <a:gd name="connsiteY18" fmla="*/ 495300 h 514786"/>
            <a:gd name="connsiteX19" fmla="*/ 152400 w 223837"/>
            <a:gd name="connsiteY19" fmla="*/ 485775 h 514786"/>
            <a:gd name="connsiteX20" fmla="*/ 166687 w 223837"/>
            <a:gd name="connsiteY20" fmla="*/ 481012 h 514786"/>
            <a:gd name="connsiteX21" fmla="*/ 180975 w 223837"/>
            <a:gd name="connsiteY21" fmla="*/ 476250 h 514786"/>
            <a:gd name="connsiteX22" fmla="*/ 195262 w 223837"/>
            <a:gd name="connsiteY22" fmla="*/ 471487 h 514786"/>
            <a:gd name="connsiteX23" fmla="*/ 214312 w 223837"/>
            <a:gd name="connsiteY23" fmla="*/ 428625 h 514786"/>
            <a:gd name="connsiteX24" fmla="*/ 219075 w 223837"/>
            <a:gd name="connsiteY24" fmla="*/ 414337 h 514786"/>
            <a:gd name="connsiteX25" fmla="*/ 223837 w 223837"/>
            <a:gd name="connsiteY25" fmla="*/ 400050 h 514786"/>
            <a:gd name="connsiteX26" fmla="*/ 219075 w 223837"/>
            <a:gd name="connsiteY26" fmla="*/ 371475 h 514786"/>
            <a:gd name="connsiteX27" fmla="*/ 190500 w 223837"/>
            <a:gd name="connsiteY27" fmla="*/ 357187 h 514786"/>
            <a:gd name="connsiteX28" fmla="*/ 176212 w 223837"/>
            <a:gd name="connsiteY28" fmla="*/ 347662 h 514786"/>
            <a:gd name="connsiteX29" fmla="*/ 166687 w 223837"/>
            <a:gd name="connsiteY29" fmla="*/ 314325 h 514786"/>
            <a:gd name="connsiteX30" fmla="*/ 47625 w 223837"/>
            <a:gd name="connsiteY30" fmla="*/ 14287 h 514786"/>
            <a:gd name="connsiteX31" fmla="*/ 38100 w 223837"/>
            <a:gd name="connsiteY31" fmla="*/ 0 h 5147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Lst>
          <a:rect l="l" t="t" r="r" b="b"/>
          <a:pathLst>
            <a:path w="223837" h="514786">
              <a:moveTo>
                <a:pt x="38100" y="0"/>
              </a:moveTo>
              <a:lnTo>
                <a:pt x="38100" y="0"/>
              </a:lnTo>
              <a:cubicBezTo>
                <a:pt x="30162" y="11112"/>
                <a:pt x="20761" y="21313"/>
                <a:pt x="14287" y="33337"/>
              </a:cubicBezTo>
              <a:cubicBezTo>
                <a:pt x="9527" y="42177"/>
                <a:pt x="7937" y="52387"/>
                <a:pt x="4762" y="61912"/>
              </a:cubicBezTo>
              <a:lnTo>
                <a:pt x="0" y="76200"/>
              </a:lnTo>
              <a:cubicBezTo>
                <a:pt x="24244" y="84281"/>
                <a:pt x="7504" y="74468"/>
                <a:pt x="19050" y="95250"/>
              </a:cubicBezTo>
              <a:cubicBezTo>
                <a:pt x="24609" y="105257"/>
                <a:pt x="38100" y="123825"/>
                <a:pt x="38100" y="123825"/>
              </a:cubicBezTo>
              <a:cubicBezTo>
                <a:pt x="39687" y="128587"/>
                <a:pt x="40617" y="133622"/>
                <a:pt x="42862" y="138112"/>
              </a:cubicBezTo>
              <a:cubicBezTo>
                <a:pt x="45422" y="143232"/>
                <a:pt x="51755" y="146711"/>
                <a:pt x="52387" y="152400"/>
              </a:cubicBezTo>
              <a:cubicBezTo>
                <a:pt x="53453" y="161997"/>
                <a:pt x="49967" y="171607"/>
                <a:pt x="47625" y="180975"/>
              </a:cubicBezTo>
              <a:cubicBezTo>
                <a:pt x="47618" y="181002"/>
                <a:pt x="35723" y="216680"/>
                <a:pt x="33337" y="223837"/>
              </a:cubicBezTo>
              <a:lnTo>
                <a:pt x="28575" y="238125"/>
              </a:lnTo>
              <a:cubicBezTo>
                <a:pt x="18042" y="311846"/>
                <a:pt x="21346" y="274697"/>
                <a:pt x="28575" y="404812"/>
              </a:cubicBezTo>
              <a:cubicBezTo>
                <a:pt x="29285" y="417591"/>
                <a:pt x="31391" y="430262"/>
                <a:pt x="33337" y="442912"/>
              </a:cubicBezTo>
              <a:cubicBezTo>
                <a:pt x="34544" y="450758"/>
                <a:pt x="38356" y="472000"/>
                <a:pt x="42862" y="481012"/>
              </a:cubicBezTo>
              <a:cubicBezTo>
                <a:pt x="45422" y="486132"/>
                <a:pt x="49212" y="490537"/>
                <a:pt x="52387" y="495300"/>
              </a:cubicBezTo>
              <a:cubicBezTo>
                <a:pt x="53975" y="501650"/>
                <a:pt x="51021" y="512052"/>
                <a:pt x="57150" y="514350"/>
              </a:cubicBezTo>
              <a:cubicBezTo>
                <a:pt x="63973" y="516909"/>
                <a:pt x="98835" y="507500"/>
                <a:pt x="109537" y="504825"/>
              </a:cubicBezTo>
              <a:cubicBezTo>
                <a:pt x="114300" y="501650"/>
                <a:pt x="118594" y="497625"/>
                <a:pt x="123825" y="495300"/>
              </a:cubicBezTo>
              <a:cubicBezTo>
                <a:pt x="133000" y="491222"/>
                <a:pt x="142875" y="488950"/>
                <a:pt x="152400" y="485775"/>
              </a:cubicBezTo>
              <a:lnTo>
                <a:pt x="166687" y="481012"/>
              </a:lnTo>
              <a:lnTo>
                <a:pt x="180975" y="476250"/>
              </a:lnTo>
              <a:lnTo>
                <a:pt x="195262" y="471487"/>
              </a:lnTo>
              <a:cubicBezTo>
                <a:pt x="210357" y="448846"/>
                <a:pt x="202976" y="462631"/>
                <a:pt x="214312" y="428625"/>
              </a:cubicBezTo>
              <a:lnTo>
                <a:pt x="219075" y="414337"/>
              </a:lnTo>
              <a:lnTo>
                <a:pt x="223837" y="400050"/>
              </a:lnTo>
              <a:cubicBezTo>
                <a:pt x="222250" y="390525"/>
                <a:pt x="223393" y="380112"/>
                <a:pt x="219075" y="371475"/>
              </a:cubicBezTo>
              <a:cubicBezTo>
                <a:pt x="214526" y="362377"/>
                <a:pt x="198012" y="360943"/>
                <a:pt x="190500" y="357187"/>
              </a:cubicBezTo>
              <a:cubicBezTo>
                <a:pt x="185380" y="354627"/>
                <a:pt x="180975" y="350837"/>
                <a:pt x="176212" y="347662"/>
              </a:cubicBezTo>
              <a:cubicBezTo>
                <a:pt x="166185" y="317581"/>
                <a:pt x="166687" y="329127"/>
                <a:pt x="166687" y="314325"/>
              </a:cubicBezTo>
              <a:lnTo>
                <a:pt x="47625" y="14287"/>
              </a:lnTo>
              <a:lnTo>
                <a:pt x="38100" y="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278416</xdr:colOff>
      <xdr:row>80</xdr:row>
      <xdr:rowOff>76200</xdr:rowOff>
    </xdr:from>
    <xdr:to>
      <xdr:col>14</xdr:col>
      <xdr:colOff>183876</xdr:colOff>
      <xdr:row>85</xdr:row>
      <xdr:rowOff>87371</xdr:rowOff>
    </xdr:to>
    <xdr:sp macro="" textlink="">
      <xdr:nvSpPr>
        <xdr:cNvPr id="63" name="Maine"/>
        <xdr:cNvSpPr/>
      </xdr:nvSpPr>
      <xdr:spPr>
        <a:xfrm>
          <a:off x="7707916" y="13423900"/>
          <a:ext cx="515060" cy="836671"/>
        </a:xfrm>
        <a:custGeom>
          <a:avLst/>
          <a:gdLst>
            <a:gd name="connsiteX0" fmla="*/ 80962 w 519112"/>
            <a:gd name="connsiteY0" fmla="*/ 33338 h 866927"/>
            <a:gd name="connsiteX1" fmla="*/ 80962 w 519112"/>
            <a:gd name="connsiteY1" fmla="*/ 33338 h 866927"/>
            <a:gd name="connsiteX2" fmla="*/ 66675 w 519112"/>
            <a:gd name="connsiteY2" fmla="*/ 76200 h 866927"/>
            <a:gd name="connsiteX3" fmla="*/ 57150 w 519112"/>
            <a:gd name="connsiteY3" fmla="*/ 219075 h 866927"/>
            <a:gd name="connsiteX4" fmla="*/ 52387 w 519112"/>
            <a:gd name="connsiteY4" fmla="*/ 385763 h 866927"/>
            <a:gd name="connsiteX5" fmla="*/ 47625 w 519112"/>
            <a:gd name="connsiteY5" fmla="*/ 428625 h 866927"/>
            <a:gd name="connsiteX6" fmla="*/ 33337 w 519112"/>
            <a:gd name="connsiteY6" fmla="*/ 471488 h 866927"/>
            <a:gd name="connsiteX7" fmla="*/ 23812 w 519112"/>
            <a:gd name="connsiteY7" fmla="*/ 485775 h 866927"/>
            <a:gd name="connsiteX8" fmla="*/ 4762 w 519112"/>
            <a:gd name="connsiteY8" fmla="*/ 528638 h 866927"/>
            <a:gd name="connsiteX9" fmla="*/ 0 w 519112"/>
            <a:gd name="connsiteY9" fmla="*/ 533400 h 866927"/>
            <a:gd name="connsiteX10" fmla="*/ 147637 w 519112"/>
            <a:gd name="connsiteY10" fmla="*/ 857250 h 866927"/>
            <a:gd name="connsiteX11" fmla="*/ 190500 w 519112"/>
            <a:gd name="connsiteY11" fmla="*/ 866775 h 866927"/>
            <a:gd name="connsiteX12" fmla="*/ 200025 w 519112"/>
            <a:gd name="connsiteY12" fmla="*/ 852488 h 866927"/>
            <a:gd name="connsiteX13" fmla="*/ 209550 w 519112"/>
            <a:gd name="connsiteY13" fmla="*/ 833438 h 866927"/>
            <a:gd name="connsiteX14" fmla="*/ 238125 w 519112"/>
            <a:gd name="connsiteY14" fmla="*/ 709613 h 866927"/>
            <a:gd name="connsiteX15" fmla="*/ 266700 w 519112"/>
            <a:gd name="connsiteY15" fmla="*/ 681038 h 866927"/>
            <a:gd name="connsiteX16" fmla="*/ 276225 w 519112"/>
            <a:gd name="connsiteY16" fmla="*/ 666750 h 866927"/>
            <a:gd name="connsiteX17" fmla="*/ 290512 w 519112"/>
            <a:gd name="connsiteY17" fmla="*/ 657225 h 866927"/>
            <a:gd name="connsiteX18" fmla="*/ 304800 w 519112"/>
            <a:gd name="connsiteY18" fmla="*/ 642938 h 866927"/>
            <a:gd name="connsiteX19" fmla="*/ 333375 w 519112"/>
            <a:gd name="connsiteY19" fmla="*/ 623888 h 866927"/>
            <a:gd name="connsiteX20" fmla="*/ 352425 w 519112"/>
            <a:gd name="connsiteY20" fmla="*/ 523875 h 866927"/>
            <a:gd name="connsiteX21" fmla="*/ 381000 w 519112"/>
            <a:gd name="connsiteY21" fmla="*/ 519113 h 866927"/>
            <a:gd name="connsiteX22" fmla="*/ 442912 w 519112"/>
            <a:gd name="connsiteY22" fmla="*/ 466725 h 866927"/>
            <a:gd name="connsiteX23" fmla="*/ 476250 w 519112"/>
            <a:gd name="connsiteY23" fmla="*/ 442913 h 866927"/>
            <a:gd name="connsiteX24" fmla="*/ 504825 w 519112"/>
            <a:gd name="connsiteY24" fmla="*/ 400050 h 866927"/>
            <a:gd name="connsiteX25" fmla="*/ 514350 w 519112"/>
            <a:gd name="connsiteY25" fmla="*/ 385763 h 866927"/>
            <a:gd name="connsiteX26" fmla="*/ 519112 w 519112"/>
            <a:gd name="connsiteY26" fmla="*/ 371475 h 866927"/>
            <a:gd name="connsiteX27" fmla="*/ 514350 w 519112"/>
            <a:gd name="connsiteY27" fmla="*/ 357188 h 866927"/>
            <a:gd name="connsiteX28" fmla="*/ 504825 w 519112"/>
            <a:gd name="connsiteY28" fmla="*/ 319088 h 866927"/>
            <a:gd name="connsiteX29" fmla="*/ 490537 w 519112"/>
            <a:gd name="connsiteY29" fmla="*/ 309563 h 866927"/>
            <a:gd name="connsiteX30" fmla="*/ 438150 w 519112"/>
            <a:gd name="connsiteY30" fmla="*/ 295275 h 866927"/>
            <a:gd name="connsiteX31" fmla="*/ 409575 w 519112"/>
            <a:gd name="connsiteY31" fmla="*/ 276225 h 866927"/>
            <a:gd name="connsiteX32" fmla="*/ 366712 w 519112"/>
            <a:gd name="connsiteY32" fmla="*/ 242888 h 866927"/>
            <a:gd name="connsiteX33" fmla="*/ 352425 w 519112"/>
            <a:gd name="connsiteY33" fmla="*/ 233363 h 866927"/>
            <a:gd name="connsiteX34" fmla="*/ 342900 w 519112"/>
            <a:gd name="connsiteY34" fmla="*/ 204788 h 866927"/>
            <a:gd name="connsiteX35" fmla="*/ 319087 w 519112"/>
            <a:gd name="connsiteY35" fmla="*/ 157163 h 866927"/>
            <a:gd name="connsiteX36" fmla="*/ 314325 w 519112"/>
            <a:gd name="connsiteY36" fmla="*/ 138113 h 866927"/>
            <a:gd name="connsiteX37" fmla="*/ 304800 w 519112"/>
            <a:gd name="connsiteY37" fmla="*/ 123825 h 866927"/>
            <a:gd name="connsiteX38" fmla="*/ 300037 w 519112"/>
            <a:gd name="connsiteY38" fmla="*/ 109538 h 866927"/>
            <a:gd name="connsiteX39" fmla="*/ 290512 w 519112"/>
            <a:gd name="connsiteY39" fmla="*/ 57150 h 866927"/>
            <a:gd name="connsiteX40" fmla="*/ 280987 w 519112"/>
            <a:gd name="connsiteY40" fmla="*/ 28575 h 866927"/>
            <a:gd name="connsiteX41" fmla="*/ 266700 w 519112"/>
            <a:gd name="connsiteY41" fmla="*/ 14288 h 866927"/>
            <a:gd name="connsiteX42" fmla="*/ 238125 w 519112"/>
            <a:gd name="connsiteY42" fmla="*/ 0 h 866927"/>
            <a:gd name="connsiteX43" fmla="*/ 195262 w 519112"/>
            <a:gd name="connsiteY43" fmla="*/ 23813 h 866927"/>
            <a:gd name="connsiteX44" fmla="*/ 185737 w 519112"/>
            <a:gd name="connsiteY44" fmla="*/ 38100 h 866927"/>
            <a:gd name="connsiteX45" fmla="*/ 142875 w 519112"/>
            <a:gd name="connsiteY45" fmla="*/ 57150 h 866927"/>
            <a:gd name="connsiteX46" fmla="*/ 128587 w 519112"/>
            <a:gd name="connsiteY46" fmla="*/ 61913 h 866927"/>
            <a:gd name="connsiteX47" fmla="*/ 100012 w 519112"/>
            <a:gd name="connsiteY47" fmla="*/ 52388 h 866927"/>
            <a:gd name="connsiteX48" fmla="*/ 80962 w 519112"/>
            <a:gd name="connsiteY48" fmla="*/ 33338 h 8669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Lst>
          <a:rect l="l" t="t" r="r" b="b"/>
          <a:pathLst>
            <a:path w="519112" h="866927">
              <a:moveTo>
                <a:pt x="80962" y="33338"/>
              </a:moveTo>
              <a:lnTo>
                <a:pt x="80962" y="33338"/>
              </a:lnTo>
              <a:cubicBezTo>
                <a:pt x="76200" y="47625"/>
                <a:pt x="68385" y="61237"/>
                <a:pt x="66675" y="76200"/>
              </a:cubicBezTo>
              <a:cubicBezTo>
                <a:pt x="43451" y="279412"/>
                <a:pt x="74815" y="148409"/>
                <a:pt x="57150" y="219075"/>
              </a:cubicBezTo>
              <a:cubicBezTo>
                <a:pt x="55562" y="274638"/>
                <a:pt x="54911" y="330235"/>
                <a:pt x="52387" y="385763"/>
              </a:cubicBezTo>
              <a:cubicBezTo>
                <a:pt x="51734" y="400123"/>
                <a:pt x="50444" y="414529"/>
                <a:pt x="47625" y="428625"/>
              </a:cubicBezTo>
              <a:cubicBezTo>
                <a:pt x="47624" y="428631"/>
                <a:pt x="35719" y="464342"/>
                <a:pt x="33337" y="471488"/>
              </a:cubicBezTo>
              <a:cubicBezTo>
                <a:pt x="31527" y="476918"/>
                <a:pt x="26987" y="481013"/>
                <a:pt x="23812" y="485775"/>
              </a:cubicBezTo>
              <a:cubicBezTo>
                <a:pt x="15125" y="511837"/>
                <a:pt x="18347" y="510524"/>
                <a:pt x="4762" y="528638"/>
              </a:cubicBezTo>
              <a:cubicBezTo>
                <a:pt x="3415" y="530434"/>
                <a:pt x="1587" y="531813"/>
                <a:pt x="0" y="533400"/>
              </a:cubicBezTo>
              <a:lnTo>
                <a:pt x="147637" y="857250"/>
              </a:lnTo>
              <a:cubicBezTo>
                <a:pt x="161925" y="860425"/>
                <a:pt x="175924" y="868100"/>
                <a:pt x="190500" y="866775"/>
              </a:cubicBezTo>
              <a:cubicBezTo>
                <a:pt x="196200" y="866257"/>
                <a:pt x="197185" y="857458"/>
                <a:pt x="200025" y="852488"/>
              </a:cubicBezTo>
              <a:cubicBezTo>
                <a:pt x="203547" y="846324"/>
                <a:pt x="206375" y="839788"/>
                <a:pt x="209550" y="833438"/>
              </a:cubicBezTo>
              <a:cubicBezTo>
                <a:pt x="216722" y="761718"/>
                <a:pt x="202628" y="752209"/>
                <a:pt x="238125" y="709613"/>
              </a:cubicBezTo>
              <a:cubicBezTo>
                <a:pt x="246749" y="699265"/>
                <a:pt x="257175" y="690563"/>
                <a:pt x="266700" y="681038"/>
              </a:cubicBezTo>
              <a:cubicBezTo>
                <a:pt x="270747" y="676991"/>
                <a:pt x="272178" y="670798"/>
                <a:pt x="276225" y="666750"/>
              </a:cubicBezTo>
              <a:cubicBezTo>
                <a:pt x="280272" y="662703"/>
                <a:pt x="286115" y="660889"/>
                <a:pt x="290512" y="657225"/>
              </a:cubicBezTo>
              <a:cubicBezTo>
                <a:pt x="295686" y="652913"/>
                <a:pt x="299484" y="647073"/>
                <a:pt x="304800" y="642938"/>
              </a:cubicBezTo>
              <a:cubicBezTo>
                <a:pt x="313836" y="635910"/>
                <a:pt x="333375" y="623888"/>
                <a:pt x="333375" y="623888"/>
              </a:cubicBezTo>
              <a:cubicBezTo>
                <a:pt x="334724" y="598258"/>
                <a:pt x="313709" y="536780"/>
                <a:pt x="352425" y="523875"/>
              </a:cubicBezTo>
              <a:cubicBezTo>
                <a:pt x="361586" y="520822"/>
                <a:pt x="371475" y="520700"/>
                <a:pt x="381000" y="519113"/>
              </a:cubicBezTo>
              <a:cubicBezTo>
                <a:pt x="412849" y="487264"/>
                <a:pt x="392961" y="505576"/>
                <a:pt x="442912" y="466725"/>
              </a:cubicBezTo>
              <a:cubicBezTo>
                <a:pt x="476809" y="440360"/>
                <a:pt x="447127" y="452619"/>
                <a:pt x="476250" y="442913"/>
              </a:cubicBezTo>
              <a:lnTo>
                <a:pt x="504825" y="400050"/>
              </a:lnTo>
              <a:lnTo>
                <a:pt x="514350" y="385763"/>
              </a:lnTo>
              <a:cubicBezTo>
                <a:pt x="515937" y="381000"/>
                <a:pt x="519112" y="376495"/>
                <a:pt x="519112" y="371475"/>
              </a:cubicBezTo>
              <a:cubicBezTo>
                <a:pt x="519112" y="366455"/>
                <a:pt x="515568" y="362058"/>
                <a:pt x="514350" y="357188"/>
              </a:cubicBezTo>
              <a:cubicBezTo>
                <a:pt x="514028" y="355898"/>
                <a:pt x="508782" y="324035"/>
                <a:pt x="504825" y="319088"/>
              </a:cubicBezTo>
              <a:cubicBezTo>
                <a:pt x="501249" y="314618"/>
                <a:pt x="495896" y="311573"/>
                <a:pt x="490537" y="309563"/>
              </a:cubicBezTo>
              <a:cubicBezTo>
                <a:pt x="470092" y="301896"/>
                <a:pt x="458017" y="308519"/>
                <a:pt x="438150" y="295275"/>
              </a:cubicBezTo>
              <a:lnTo>
                <a:pt x="409575" y="276225"/>
              </a:lnTo>
              <a:cubicBezTo>
                <a:pt x="345330" y="233395"/>
                <a:pt x="405750" y="255899"/>
                <a:pt x="366712" y="242888"/>
              </a:cubicBezTo>
              <a:cubicBezTo>
                <a:pt x="361950" y="239713"/>
                <a:pt x="355458" y="238217"/>
                <a:pt x="352425" y="233363"/>
              </a:cubicBezTo>
              <a:cubicBezTo>
                <a:pt x="347104" y="224849"/>
                <a:pt x="346629" y="214110"/>
                <a:pt x="342900" y="204788"/>
              </a:cubicBezTo>
              <a:cubicBezTo>
                <a:pt x="329937" y="172380"/>
                <a:pt x="337774" y="188306"/>
                <a:pt x="319087" y="157163"/>
              </a:cubicBezTo>
              <a:cubicBezTo>
                <a:pt x="317500" y="150813"/>
                <a:pt x="316903" y="144129"/>
                <a:pt x="314325" y="138113"/>
              </a:cubicBezTo>
              <a:cubicBezTo>
                <a:pt x="312070" y="132852"/>
                <a:pt x="307360" y="128945"/>
                <a:pt x="304800" y="123825"/>
              </a:cubicBezTo>
              <a:cubicBezTo>
                <a:pt x="302555" y="119335"/>
                <a:pt x="301625" y="114300"/>
                <a:pt x="300037" y="109538"/>
              </a:cubicBezTo>
              <a:cubicBezTo>
                <a:pt x="298480" y="100192"/>
                <a:pt x="293367" y="67618"/>
                <a:pt x="290512" y="57150"/>
              </a:cubicBezTo>
              <a:cubicBezTo>
                <a:pt x="287870" y="47464"/>
                <a:pt x="284162" y="38100"/>
                <a:pt x="280987" y="28575"/>
              </a:cubicBezTo>
              <a:cubicBezTo>
                <a:pt x="278857" y="22186"/>
                <a:pt x="271874" y="18600"/>
                <a:pt x="266700" y="14288"/>
              </a:cubicBezTo>
              <a:cubicBezTo>
                <a:pt x="254391" y="4031"/>
                <a:pt x="252443" y="4773"/>
                <a:pt x="238125" y="0"/>
              </a:cubicBezTo>
              <a:cubicBezTo>
                <a:pt x="205373" y="21835"/>
                <a:pt x="220410" y="15430"/>
                <a:pt x="195262" y="23813"/>
              </a:cubicBezTo>
              <a:cubicBezTo>
                <a:pt x="192087" y="28575"/>
                <a:pt x="189784" y="34053"/>
                <a:pt x="185737" y="38100"/>
              </a:cubicBezTo>
              <a:cubicBezTo>
                <a:pt x="174416" y="49421"/>
                <a:pt x="157024" y="52434"/>
                <a:pt x="142875" y="57150"/>
              </a:cubicBezTo>
              <a:lnTo>
                <a:pt x="128587" y="61913"/>
              </a:lnTo>
              <a:lnTo>
                <a:pt x="100012" y="52388"/>
              </a:lnTo>
              <a:lnTo>
                <a:pt x="80962" y="33338"/>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456526</xdr:colOff>
      <xdr:row>91</xdr:row>
      <xdr:rowOff>153340</xdr:rowOff>
    </xdr:from>
    <xdr:to>
      <xdr:col>12</xdr:col>
      <xdr:colOff>540346</xdr:colOff>
      <xdr:row>92</xdr:row>
      <xdr:rowOff>54845</xdr:rowOff>
    </xdr:to>
    <xdr:sp macro="" textlink="">
      <xdr:nvSpPr>
        <xdr:cNvPr id="64" name="District_of_Columbia"/>
        <xdr:cNvSpPr/>
      </xdr:nvSpPr>
      <xdr:spPr>
        <a:xfrm>
          <a:off x="7276426" y="15317140"/>
          <a:ext cx="83820" cy="66605"/>
        </a:xfrm>
        <a:custGeom>
          <a:avLst/>
          <a:gdLst>
            <a:gd name="connsiteX0" fmla="*/ 0 w 83820"/>
            <a:gd name="connsiteY0" fmla="*/ 24560 h 66605"/>
            <a:gd name="connsiteX1" fmla="*/ 11430 w 83820"/>
            <a:gd name="connsiteY1" fmla="*/ 5510 h 66605"/>
            <a:gd name="connsiteX2" fmla="*/ 80010 w 83820"/>
            <a:gd name="connsiteY2" fmla="*/ 20750 h 66605"/>
            <a:gd name="connsiteX3" fmla="*/ 83820 w 83820"/>
            <a:gd name="connsiteY3" fmla="*/ 32180 h 66605"/>
            <a:gd name="connsiteX4" fmla="*/ 68580 w 83820"/>
            <a:gd name="connsiteY4" fmla="*/ 66470 h 66605"/>
            <a:gd name="connsiteX5" fmla="*/ 45720 w 83820"/>
            <a:gd name="connsiteY5" fmla="*/ 62660 h 66605"/>
            <a:gd name="connsiteX6" fmla="*/ 34290 w 83820"/>
            <a:gd name="connsiteY6" fmla="*/ 58850 h 66605"/>
            <a:gd name="connsiteX7" fmla="*/ 11430 w 83820"/>
            <a:gd name="connsiteY7" fmla="*/ 43610 h 66605"/>
            <a:gd name="connsiteX8" fmla="*/ 0 w 83820"/>
            <a:gd name="connsiteY8" fmla="*/ 24560 h 6660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83820" h="66605">
              <a:moveTo>
                <a:pt x="0" y="24560"/>
              </a:moveTo>
              <a:cubicBezTo>
                <a:pt x="3810" y="18210"/>
                <a:pt x="4184" y="7036"/>
                <a:pt x="11430" y="5510"/>
              </a:cubicBezTo>
              <a:cubicBezTo>
                <a:pt x="49845" y="-2577"/>
                <a:pt x="67195" y="-4880"/>
                <a:pt x="80010" y="20750"/>
              </a:cubicBezTo>
              <a:cubicBezTo>
                <a:pt x="81806" y="24342"/>
                <a:pt x="82550" y="28370"/>
                <a:pt x="83820" y="32180"/>
              </a:cubicBezTo>
              <a:cubicBezTo>
                <a:pt x="82352" y="42456"/>
                <a:pt x="85958" y="64539"/>
                <a:pt x="68580" y="66470"/>
              </a:cubicBezTo>
              <a:cubicBezTo>
                <a:pt x="60902" y="67323"/>
                <a:pt x="53340" y="63930"/>
                <a:pt x="45720" y="62660"/>
              </a:cubicBezTo>
              <a:cubicBezTo>
                <a:pt x="41910" y="61390"/>
                <a:pt x="37801" y="60800"/>
                <a:pt x="34290" y="58850"/>
              </a:cubicBezTo>
              <a:cubicBezTo>
                <a:pt x="26284" y="54402"/>
                <a:pt x="11430" y="43610"/>
                <a:pt x="11430" y="43610"/>
              </a:cubicBezTo>
              <a:lnTo>
                <a:pt x="0" y="24560"/>
              </a:ln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11</xdr:col>
      <xdr:colOff>444500</xdr:colOff>
      <xdr:row>0</xdr:row>
      <xdr:rowOff>127000</xdr:rowOff>
    </xdr:from>
    <xdr:to>
      <xdr:col>14</xdr:col>
      <xdr:colOff>511563</xdr:colOff>
      <xdr:row>3</xdr:row>
      <xdr:rowOff>67422</xdr:rowOff>
    </xdr:to>
    <xdr:pic>
      <xdr:nvPicPr>
        <xdr:cNvPr id="66" name="Picture 6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54800" y="127000"/>
          <a:ext cx="1895863" cy="499222"/>
        </a:xfrm>
        <a:prstGeom prst="rect">
          <a:avLst/>
        </a:prstGeom>
      </xdr:spPr>
    </xdr:pic>
    <xdr:clientData/>
  </xdr:twoCellAnchor>
  <xdr:twoCellAnchor>
    <xdr:from>
      <xdr:col>1</xdr:col>
      <xdr:colOff>114300</xdr:colOff>
      <xdr:row>41</xdr:row>
      <xdr:rowOff>152400</xdr:rowOff>
    </xdr:from>
    <xdr:to>
      <xdr:col>8</xdr:col>
      <xdr:colOff>82923</xdr:colOff>
      <xdr:row>58</xdr:row>
      <xdr:rowOff>3175</xdr:rowOff>
    </xdr:to>
    <xdr:graphicFrame macro="">
      <xdr:nvGraphicFramePr>
        <xdr:cNvPr id="67" name="Chart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177612</xdr:colOff>
      <xdr:row>41</xdr:row>
      <xdr:rowOff>152400</xdr:rowOff>
    </xdr:from>
    <xdr:to>
      <xdr:col>14</xdr:col>
      <xdr:colOff>559734</xdr:colOff>
      <xdr:row>58</xdr:row>
      <xdr:rowOff>3175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12700</xdr:colOff>
      <xdr:row>89</xdr:row>
      <xdr:rowOff>101600</xdr:rowOff>
    </xdr:from>
    <xdr:to>
      <xdr:col>13</xdr:col>
      <xdr:colOff>170143</xdr:colOff>
      <xdr:row>90</xdr:row>
      <xdr:rowOff>160057</xdr:rowOff>
    </xdr:to>
    <xdr:sp macro="" textlink="">
      <xdr:nvSpPr>
        <xdr:cNvPr id="69" name="Delaware"/>
        <xdr:cNvSpPr/>
      </xdr:nvSpPr>
      <xdr:spPr>
        <a:xfrm>
          <a:off x="7442200" y="15087600"/>
          <a:ext cx="157443" cy="223557"/>
        </a:xfrm>
        <a:custGeom>
          <a:avLst/>
          <a:gdLst>
            <a:gd name="connsiteX0" fmla="*/ 0 w 161925"/>
            <a:gd name="connsiteY0" fmla="*/ 19050 h 228600"/>
            <a:gd name="connsiteX1" fmla="*/ 95250 w 161925"/>
            <a:gd name="connsiteY1" fmla="*/ 228600 h 228600"/>
            <a:gd name="connsiteX2" fmla="*/ 161925 w 161925"/>
            <a:gd name="connsiteY2" fmla="*/ 214313 h 228600"/>
            <a:gd name="connsiteX3" fmla="*/ 147637 w 161925"/>
            <a:gd name="connsiteY3" fmla="*/ 157163 h 228600"/>
            <a:gd name="connsiteX4" fmla="*/ 119062 w 161925"/>
            <a:gd name="connsiteY4" fmla="*/ 138113 h 228600"/>
            <a:gd name="connsiteX5" fmla="*/ 104775 w 161925"/>
            <a:gd name="connsiteY5" fmla="*/ 128588 h 228600"/>
            <a:gd name="connsiteX6" fmla="*/ 90487 w 161925"/>
            <a:gd name="connsiteY6" fmla="*/ 119063 h 228600"/>
            <a:gd name="connsiteX7" fmla="*/ 71437 w 161925"/>
            <a:gd name="connsiteY7" fmla="*/ 76200 h 228600"/>
            <a:gd name="connsiteX8" fmla="*/ 66675 w 161925"/>
            <a:gd name="connsiteY8" fmla="*/ 61913 h 228600"/>
            <a:gd name="connsiteX9" fmla="*/ 61912 w 161925"/>
            <a:gd name="connsiteY9" fmla="*/ 23813 h 228600"/>
            <a:gd name="connsiteX10" fmla="*/ 57150 w 161925"/>
            <a:gd name="connsiteY10" fmla="*/ 4763 h 228600"/>
            <a:gd name="connsiteX11" fmla="*/ 42862 w 161925"/>
            <a:gd name="connsiteY11" fmla="*/ 0 h 228600"/>
            <a:gd name="connsiteX12" fmla="*/ 0 w 161925"/>
            <a:gd name="connsiteY12" fmla="*/ 19050 h 228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61925" h="228600">
              <a:moveTo>
                <a:pt x="0" y="19050"/>
              </a:moveTo>
              <a:lnTo>
                <a:pt x="95250" y="228600"/>
              </a:lnTo>
              <a:lnTo>
                <a:pt x="161925" y="214313"/>
              </a:lnTo>
              <a:cubicBezTo>
                <a:pt x="159911" y="196188"/>
                <a:pt x="163790" y="171297"/>
                <a:pt x="147637" y="157163"/>
              </a:cubicBezTo>
              <a:cubicBezTo>
                <a:pt x="139022" y="149625"/>
                <a:pt x="128587" y="144463"/>
                <a:pt x="119062" y="138113"/>
              </a:cubicBezTo>
              <a:lnTo>
                <a:pt x="104775" y="128588"/>
              </a:lnTo>
              <a:lnTo>
                <a:pt x="90487" y="119063"/>
              </a:lnTo>
              <a:cubicBezTo>
                <a:pt x="75393" y="96421"/>
                <a:pt x="82772" y="110204"/>
                <a:pt x="71437" y="76200"/>
              </a:cubicBezTo>
              <a:lnTo>
                <a:pt x="66675" y="61913"/>
              </a:lnTo>
              <a:cubicBezTo>
                <a:pt x="65087" y="49213"/>
                <a:pt x="64016" y="36438"/>
                <a:pt x="61912" y="23813"/>
              </a:cubicBezTo>
              <a:cubicBezTo>
                <a:pt x="60836" y="17357"/>
                <a:pt x="61239" y="9874"/>
                <a:pt x="57150" y="4763"/>
              </a:cubicBezTo>
              <a:cubicBezTo>
                <a:pt x="54014" y="843"/>
                <a:pt x="47625" y="1588"/>
                <a:pt x="42862" y="0"/>
              </a:cubicBezTo>
              <a:cubicBezTo>
                <a:pt x="11333" y="21019"/>
                <a:pt x="24526" y="13930"/>
                <a:pt x="0" y="19050"/>
              </a:cubicBezTo>
              <a:close/>
            </a:path>
          </a:pathLst>
        </a:custGeom>
        <a:solidFill>
          <a:srgbClr val="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C3:K22"/>
  <sheetViews>
    <sheetView showGridLines="0" tabSelected="1" workbookViewId="0">
      <selection activeCell="H14" sqref="H14:J14"/>
    </sheetView>
  </sheetViews>
  <sheetFormatPr defaultRowHeight="12.75" x14ac:dyDescent="0.2"/>
  <sheetData>
    <row r="3" spans="3:10" x14ac:dyDescent="0.2">
      <c r="C3" s="4" t="s">
        <v>137</v>
      </c>
      <c r="D3" s="4" t="s">
        <v>138</v>
      </c>
    </row>
    <row r="4" spans="3:10" x14ac:dyDescent="0.2">
      <c r="C4" t="s">
        <v>0</v>
      </c>
      <c r="D4" s="4" t="s">
        <v>174</v>
      </c>
    </row>
    <row r="5" spans="3:10" x14ac:dyDescent="0.2">
      <c r="C5" t="s">
        <v>1</v>
      </c>
      <c r="D5" t="s">
        <v>11</v>
      </c>
    </row>
    <row r="6" spans="3:10" x14ac:dyDescent="0.2">
      <c r="C6" t="s">
        <v>2</v>
      </c>
      <c r="D6" s="4" t="s">
        <v>170</v>
      </c>
    </row>
    <row r="7" spans="3:10" x14ac:dyDescent="0.2">
      <c r="C7" t="s">
        <v>12</v>
      </c>
      <c r="D7" t="s">
        <v>171</v>
      </c>
    </row>
    <row r="8" spans="3:10" x14ac:dyDescent="0.2">
      <c r="C8" t="s">
        <v>14</v>
      </c>
      <c r="D8" s="4" t="s">
        <v>62</v>
      </c>
    </row>
    <row r="9" spans="3:10" x14ac:dyDescent="0.2">
      <c r="C9" s="4" t="s">
        <v>57</v>
      </c>
      <c r="D9" t="s">
        <v>13</v>
      </c>
    </row>
    <row r="10" spans="3:10" x14ac:dyDescent="0.2">
      <c r="C10" s="4" t="s">
        <v>172</v>
      </c>
      <c r="D10" s="4" t="s">
        <v>58</v>
      </c>
    </row>
    <row r="11" spans="3:10" x14ac:dyDescent="0.2">
      <c r="C11" s="4" t="s">
        <v>173</v>
      </c>
      <c r="D11" s="4" t="s">
        <v>136</v>
      </c>
    </row>
    <row r="14" spans="3:10" ht="18" x14ac:dyDescent="0.25">
      <c r="G14" s="1" t="s">
        <v>16</v>
      </c>
      <c r="H14" s="60"/>
      <c r="I14" s="61"/>
      <c r="J14" s="62"/>
    </row>
    <row r="15" spans="3:10" ht="18" x14ac:dyDescent="0.25">
      <c r="G15" s="1"/>
      <c r="H15" s="18"/>
      <c r="I15" s="18"/>
      <c r="J15" s="18"/>
    </row>
    <row r="16" spans="3:10" ht="18" x14ac:dyDescent="0.25">
      <c r="G16" s="1" t="s">
        <v>60</v>
      </c>
      <c r="H16" s="20">
        <v>3</v>
      </c>
      <c r="I16" s="19"/>
      <c r="J16" s="18"/>
    </row>
    <row r="17" spans="7:11" ht="18" x14ac:dyDescent="0.25">
      <c r="G17" s="1"/>
      <c r="H17" s="18"/>
      <c r="I17" s="19"/>
      <c r="J17" s="18"/>
    </row>
    <row r="18" spans="7:11" ht="18" x14ac:dyDescent="0.25">
      <c r="G18" s="1" t="s">
        <v>61</v>
      </c>
      <c r="H18" s="20">
        <v>2</v>
      </c>
      <c r="I18" s="18"/>
      <c r="J18" s="18"/>
    </row>
    <row r="20" spans="7:11" ht="18" x14ac:dyDescent="0.25">
      <c r="G20" s="1" t="s">
        <v>167</v>
      </c>
      <c r="K20" s="4" t="s">
        <v>168</v>
      </c>
    </row>
    <row r="22" spans="7:11" x14ac:dyDescent="0.2">
      <c r="K22" s="4" t="s">
        <v>169</v>
      </c>
    </row>
  </sheetData>
  <mergeCells count="1">
    <mergeCell ref="H14:J14"/>
  </mergeCells>
  <phoneticPr fontId="2" type="noConversion"/>
  <dataValidations count="3">
    <dataValidation type="whole" allowBlank="1" showInputMessage="1" showErrorMessage="1" errorTitle="Invalid Entry" error="Please enter an integer of value between 0 and 5." promptTitle="Seeding Passes" prompt="Enter an integer between 0 and 5.  Seeding passes increase the likelihood of finding information for an email address.  So it is best to enter a value between 2 and 5." sqref="H16:H17">
      <formula1>0</formula1>
      <formula2>5</formula2>
    </dataValidation>
    <dataValidation type="whole" allowBlank="1" showInputMessage="1" showErrorMessage="1" errorTitle="Invalid Entry" error="An integer between 1 and 15 should be entered." promptTitle="Delay between Passes (minutes)" prompt="For small data sets, it's important to allow some time between seeding passes to allow time for the search targets to complete.  An integer between 1 and 15 should be entered.  This delay will be applied to data sets smaller than 10,000." sqref="H18">
      <formula1>1</formula1>
      <formula2>15</formula2>
    </dataValidation>
    <dataValidation allowBlank="1" showInputMessage="1" showErrorMessage="1" promptTitle="FullContact API Key" prompt="To get your FullContact API key visit http://fullcontact.com." sqref="H14:J14"/>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30" r:id="rId4" name="OptionButton2">
          <controlPr defaultSize="0" autoLine="0" r:id="rId5">
            <anchor moveWithCells="1">
              <from>
                <xdr:col>7</xdr:col>
                <xdr:colOff>142875</xdr:colOff>
                <xdr:row>20</xdr:row>
                <xdr:rowOff>66675</xdr:rowOff>
              </from>
              <to>
                <xdr:col>9</xdr:col>
                <xdr:colOff>581025</xdr:colOff>
                <xdr:row>22</xdr:row>
                <xdr:rowOff>152400</xdr:rowOff>
              </to>
            </anchor>
          </controlPr>
        </control>
      </mc:Choice>
      <mc:Fallback>
        <control shapeId="1030" r:id="rId4" name="OptionButton2"/>
      </mc:Fallback>
    </mc:AlternateContent>
    <mc:AlternateContent xmlns:mc="http://schemas.openxmlformats.org/markup-compatibility/2006">
      <mc:Choice Requires="x14">
        <control shapeId="1029" r:id="rId6" name="OptionButton1">
          <controlPr defaultSize="0" autoLine="0" r:id="rId7">
            <anchor moveWithCells="1">
              <from>
                <xdr:col>7</xdr:col>
                <xdr:colOff>142875</xdr:colOff>
                <xdr:row>18</xdr:row>
                <xdr:rowOff>142875</xdr:rowOff>
              </from>
              <to>
                <xdr:col>9</xdr:col>
                <xdr:colOff>552450</xdr:colOff>
                <xdr:row>20</xdr:row>
                <xdr:rowOff>133350</xdr:rowOff>
              </to>
            </anchor>
          </controlPr>
        </control>
      </mc:Choice>
      <mc:Fallback>
        <control shapeId="1029" r:id="rId6" name="OptionButton1"/>
      </mc:Fallback>
    </mc:AlternateContent>
    <mc:AlternateContent xmlns:mc="http://schemas.openxmlformats.org/markup-compatibility/2006">
      <mc:Choice Requires="x14">
        <control shapeId="1025" r:id="rId8" name="Button 1">
          <controlPr defaultSize="0" print="0" autoFill="0" autoPict="0" macro="[0]!runProcess">
            <anchor moveWithCells="1" sizeWithCells="1">
              <from>
                <xdr:col>5</xdr:col>
                <xdr:colOff>504825</xdr:colOff>
                <xdr:row>23</xdr:row>
                <xdr:rowOff>152400</xdr:rowOff>
              </from>
              <to>
                <xdr:col>9</xdr:col>
                <xdr:colOff>85725</xdr:colOff>
                <xdr:row>28</xdr:row>
                <xdr:rowOff>133350</xdr:rowOff>
              </to>
            </anchor>
          </controlPr>
        </control>
      </mc:Choice>
    </mc:AlternateContent>
    <mc:AlternateContent xmlns:mc="http://schemas.openxmlformats.org/markup-compatibility/2006">
      <mc:Choice Requires="x14">
        <control shapeId="1026" r:id="rId9" name="Button 2">
          <controlPr defaultSize="0" print="0" autoFill="0" autoPict="0" macro="[0]!ClearSheetPrompt">
            <anchor moveWithCells="1" sizeWithCells="1">
              <from>
                <xdr:col>1</xdr:col>
                <xdr:colOff>561975</xdr:colOff>
                <xdr:row>24</xdr:row>
                <xdr:rowOff>9525</xdr:rowOff>
              </from>
              <to>
                <xdr:col>5</xdr:col>
                <xdr:colOff>142875</xdr:colOff>
                <xdr:row>28</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generateReport">
            <anchor moveWithCells="1" sizeWithCells="1">
              <from>
                <xdr:col>9</xdr:col>
                <xdr:colOff>323850</xdr:colOff>
                <xdr:row>24</xdr:row>
                <xdr:rowOff>0</xdr:rowOff>
              </from>
              <to>
                <xdr:col>12</xdr:col>
                <xdr:colOff>514350</xdr:colOff>
                <xdr:row>28</xdr:row>
                <xdr:rowOff>133350</xdr:rowOff>
              </to>
            </anchor>
          </controlPr>
        </control>
      </mc:Choice>
    </mc:AlternateContent>
    <mc:AlternateContent xmlns:mc="http://schemas.openxmlformats.org/markup-compatibility/2006">
      <mc:Choice Requires="x14">
        <control shapeId="1028" r:id="rId11" name="Button 4">
          <controlPr defaultSize="0" print="0" autoFill="0" autoPict="0" macro="[0]!exportCsv">
            <anchor moveWithCells="1" sizeWithCells="1">
              <from>
                <xdr:col>13</xdr:col>
                <xdr:colOff>114300</xdr:colOff>
                <xdr:row>24</xdr:row>
                <xdr:rowOff>0</xdr:rowOff>
              </from>
              <to>
                <xdr:col>16</xdr:col>
                <xdr:colOff>304800</xdr:colOff>
                <xdr:row>28</xdr:row>
                <xdr:rowOff>133350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E1"/>
  <sheetViews>
    <sheetView workbookViewId="0"/>
  </sheetViews>
  <sheetFormatPr defaultRowHeight="12.75" x14ac:dyDescent="0.2"/>
  <cols>
    <col min="1" max="1" width="30.7109375" customWidth="1"/>
    <col min="2" max="2" width="6.7109375" customWidth="1"/>
    <col min="3" max="4" width="12.7109375" customWidth="1"/>
    <col min="5" max="5" width="18.7109375" customWidth="1"/>
    <col min="13" max="21" width="25.7109375" customWidth="1"/>
    <col min="22" max="31" width="12.7109375" customWidth="1"/>
    <col min="32" max="32" width="23.42578125" customWidth="1"/>
    <col min="33" max="33" width="44.28515625" customWidth="1"/>
    <col min="34" max="34" width="16.42578125" bestFit="1" customWidth="1"/>
    <col min="54" max="54" width="12.7109375" customWidth="1"/>
  </cols>
  <sheetData>
    <row r="1" spans="1:31" s="2" customFormat="1" x14ac:dyDescent="0.2">
      <c r="A1" s="2" t="s">
        <v>17</v>
      </c>
      <c r="B1" s="2" t="s">
        <v>18</v>
      </c>
      <c r="C1" s="2" t="s">
        <v>19</v>
      </c>
      <c r="D1" s="2" t="s">
        <v>20</v>
      </c>
      <c r="E1" s="2" t="s">
        <v>21</v>
      </c>
      <c r="F1" s="2" t="s">
        <v>22</v>
      </c>
      <c r="G1" s="2" t="s">
        <v>23</v>
      </c>
      <c r="H1" s="2" t="s">
        <v>3</v>
      </c>
      <c r="I1" s="2" t="s">
        <v>24</v>
      </c>
      <c r="J1" s="2" t="s">
        <v>25</v>
      </c>
      <c r="K1" s="2" t="s">
        <v>4</v>
      </c>
      <c r="L1" s="2" t="s">
        <v>8</v>
      </c>
      <c r="M1" s="2" t="s">
        <v>5</v>
      </c>
      <c r="N1" s="2" t="s">
        <v>15</v>
      </c>
      <c r="O1" s="2" t="s">
        <v>6</v>
      </c>
      <c r="P1" s="2" t="s">
        <v>7</v>
      </c>
      <c r="Q1" s="2" t="s">
        <v>141</v>
      </c>
      <c r="R1" s="2" t="s">
        <v>142</v>
      </c>
      <c r="S1" s="2" t="s">
        <v>176</v>
      </c>
      <c r="T1" s="2" t="s">
        <v>143</v>
      </c>
      <c r="U1" s="2" t="s">
        <v>9</v>
      </c>
      <c r="V1" s="2" t="s">
        <v>10</v>
      </c>
      <c r="W1" s="2" t="s">
        <v>145</v>
      </c>
      <c r="X1" s="2" t="s">
        <v>176</v>
      </c>
      <c r="Y1" s="2" t="s">
        <v>146</v>
      </c>
      <c r="Z1" s="2" t="s">
        <v>176</v>
      </c>
      <c r="AA1" s="2" t="s">
        <v>147</v>
      </c>
      <c r="AB1" s="2" t="s">
        <v>148</v>
      </c>
      <c r="AC1" s="2" t="s">
        <v>149</v>
      </c>
      <c r="AD1" s="2" t="s">
        <v>150</v>
      </c>
      <c r="AE1" s="2" t="s">
        <v>151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K176"/>
  <sheetViews>
    <sheetView zoomScale="85" zoomScaleNormal="85" workbookViewId="0"/>
  </sheetViews>
  <sheetFormatPr defaultRowHeight="12.75" x14ac:dyDescent="0.2"/>
  <cols>
    <col min="7" max="7" width="9.140625" customWidth="1"/>
    <col min="10" max="10" width="9.140625" customWidth="1"/>
    <col min="20" max="20" width="0" hidden="1" customWidth="1"/>
    <col min="21" max="21" width="6.140625" customWidth="1"/>
    <col min="22" max="22" width="1.5703125" customWidth="1"/>
    <col min="23" max="23" width="1.7109375" customWidth="1"/>
    <col min="24" max="24" width="4" customWidth="1"/>
    <col min="25" max="25" width="7.140625" customWidth="1"/>
  </cols>
  <sheetData>
    <row r="1" spans="3:11" x14ac:dyDescent="0.2">
      <c r="C1" s="4" t="s">
        <v>49</v>
      </c>
      <c r="D1" s="4" t="str">
        <f ca="1">MID(CELL("filename"),SEARCH("[",CELL("filename"))+1, SEARCH("]",CELL("filename"))-SEARCH("[",CELL("filename"))-1)</f>
        <v>FullContact Person Enrichment - Template.xltm</v>
      </c>
    </row>
    <row r="2" spans="3:11" x14ac:dyDescent="0.2">
      <c r="C2" s="4" t="s">
        <v>59</v>
      </c>
      <c r="D2">
        <v>1</v>
      </c>
      <c r="E2" s="4"/>
      <c r="J2" s="4" t="s">
        <v>165</v>
      </c>
      <c r="K2">
        <v>1</v>
      </c>
    </row>
    <row r="3" spans="3:11" x14ac:dyDescent="0.2">
      <c r="C3" s="3" t="s">
        <v>26</v>
      </c>
      <c r="D3">
        <f>COUNTIF(InputSheet!B:B,"200")</f>
        <v>0</v>
      </c>
      <c r="E3" s="7">
        <f>D3/D5</f>
        <v>0</v>
      </c>
      <c r="J3" s="4" t="s">
        <v>166</v>
      </c>
      <c r="K3">
        <v>0</v>
      </c>
    </row>
    <row r="4" spans="3:11" x14ac:dyDescent="0.2">
      <c r="C4" s="3" t="s">
        <v>27</v>
      </c>
      <c r="D4">
        <f>COUNTBLANK(InputSheet!A:A)</f>
        <v>1048575</v>
      </c>
    </row>
    <row r="5" spans="3:11" x14ac:dyDescent="0.2">
      <c r="C5" s="3" t="s">
        <v>28</v>
      </c>
      <c r="D5">
        <v>1</v>
      </c>
    </row>
    <row r="6" spans="3:11" x14ac:dyDescent="0.2">
      <c r="C6" s="3" t="s">
        <v>29</v>
      </c>
      <c r="J6" s="3"/>
    </row>
    <row r="7" spans="3:11" x14ac:dyDescent="0.2">
      <c r="C7" s="3" t="s">
        <v>30</v>
      </c>
      <c r="D7">
        <f>COUNTIF(InputSheet!B:B,"202")+COUNTIF(InputSheet!B:B,"404")</f>
        <v>0</v>
      </c>
      <c r="E7" s="7">
        <f>D7/D5</f>
        <v>0</v>
      </c>
      <c r="J7" s="3"/>
    </row>
    <row r="8" spans="3:11" x14ac:dyDescent="0.2">
      <c r="C8" s="3" t="s">
        <v>31</v>
      </c>
      <c r="D8">
        <f>COUNTIF(InputSheet!B:B,"422")</f>
        <v>0</v>
      </c>
      <c r="E8" s="17">
        <f>D8/D5</f>
        <v>0</v>
      </c>
    </row>
    <row r="9" spans="3:11" x14ac:dyDescent="0.2">
      <c r="C9" s="5" t="s">
        <v>42</v>
      </c>
      <c r="D9">
        <v>0</v>
      </c>
    </row>
    <row r="10" spans="3:11" x14ac:dyDescent="0.2">
      <c r="C10" s="5" t="s">
        <v>43</v>
      </c>
      <c r="D10">
        <v>2</v>
      </c>
      <c r="E10" s="8">
        <f>D10/D5</f>
        <v>2</v>
      </c>
    </row>
    <row r="12" spans="3:11" x14ac:dyDescent="0.2">
      <c r="C12" s="29" t="s">
        <v>157</v>
      </c>
      <c r="E12" s="30" t="s">
        <v>158</v>
      </c>
    </row>
    <row r="13" spans="3:11" x14ac:dyDescent="0.2">
      <c r="C13" s="6" t="s">
        <v>156</v>
      </c>
      <c r="D13">
        <f>IF($D$2=1,COUNTA(InputSheet!AE:AE)-1,"")</f>
        <v>0</v>
      </c>
      <c r="E13" s="7">
        <f t="shared" ref="E13:E34" si="0">D13/$D$5</f>
        <v>0</v>
      </c>
    </row>
    <row r="14" spans="3:11" x14ac:dyDescent="0.2">
      <c r="C14" s="6" t="s">
        <v>144</v>
      </c>
      <c r="D14">
        <f>IF($D$2=1,COUNTA(InputSheet!T:T)-1,"")</f>
        <v>0</v>
      </c>
      <c r="E14" s="7">
        <f t="shared" si="0"/>
        <v>0</v>
      </c>
    </row>
    <row r="15" spans="3:11" x14ac:dyDescent="0.2">
      <c r="C15" s="6" t="s">
        <v>24</v>
      </c>
      <c r="D15">
        <f>IF($D$2=1,COUNTA(InputSheet!I:I)-1,"")</f>
        <v>0</v>
      </c>
      <c r="E15" s="7">
        <f t="shared" si="0"/>
        <v>0</v>
      </c>
    </row>
    <row r="16" spans="3:11" x14ac:dyDescent="0.2">
      <c r="C16" s="6" t="s">
        <v>25</v>
      </c>
      <c r="D16">
        <f>IF($D$2=1,COUNTA(InputSheet!J:J)-1,"")</f>
        <v>0</v>
      </c>
      <c r="E16" s="7">
        <f t="shared" si="0"/>
        <v>0</v>
      </c>
    </row>
    <row r="17" spans="3:5" x14ac:dyDescent="0.2">
      <c r="C17" s="6" t="s">
        <v>5</v>
      </c>
      <c r="D17">
        <f>IF($D$2=1,COUNTA(InputSheet!M:M)-1,"")</f>
        <v>0</v>
      </c>
      <c r="E17" s="7">
        <f t="shared" si="0"/>
        <v>0</v>
      </c>
    </row>
    <row r="18" spans="3:5" x14ac:dyDescent="0.2">
      <c r="C18" s="6" t="s">
        <v>155</v>
      </c>
      <c r="D18">
        <f>IF($D$2=1,COUNTA(InputSheet!AD:AD)-1,"")</f>
        <v>0</v>
      </c>
      <c r="E18" s="7">
        <f t="shared" si="0"/>
        <v>0</v>
      </c>
    </row>
    <row r="19" spans="3:5" x14ac:dyDescent="0.2">
      <c r="C19" s="6" t="s">
        <v>141</v>
      </c>
      <c r="D19">
        <f>IF($D$2=1,COUNTA(InputSheet!Q:Q)-1,"")</f>
        <v>0</v>
      </c>
      <c r="E19" s="7">
        <f t="shared" si="0"/>
        <v>0</v>
      </c>
    </row>
    <row r="20" spans="3:5" x14ac:dyDescent="0.2">
      <c r="C20" s="6" t="s">
        <v>154</v>
      </c>
      <c r="D20">
        <f>IF($D$2=1,COUNTA(InputSheet!AC:AC)-1,"")</f>
        <v>0</v>
      </c>
      <c r="E20" s="7">
        <f t="shared" si="0"/>
        <v>0</v>
      </c>
    </row>
    <row r="21" spans="3:5" x14ac:dyDescent="0.2">
      <c r="C21" s="6" t="s">
        <v>176</v>
      </c>
      <c r="D21">
        <f>IF($D$2=1,COUNTA(InputSheet!S:S)-1,"")</f>
        <v>0</v>
      </c>
      <c r="E21" s="7">
        <f t="shared" si="0"/>
        <v>0</v>
      </c>
    </row>
    <row r="22" spans="3:5" x14ac:dyDescent="0.2">
      <c r="C22" s="6" t="s">
        <v>152</v>
      </c>
      <c r="D22">
        <f>IF($D$2=1,COUNTA(InputSheet!AA:AA)-1,"")</f>
        <v>0</v>
      </c>
      <c r="E22" s="7">
        <f t="shared" si="0"/>
        <v>0</v>
      </c>
    </row>
    <row r="23" spans="3:5" x14ac:dyDescent="0.2">
      <c r="C23" s="6" t="s">
        <v>15</v>
      </c>
      <c r="D23">
        <f>IF($D$2=1,COUNTA(InputSheet!N:N)-1,"")</f>
        <v>0</v>
      </c>
      <c r="E23" s="7">
        <f t="shared" si="0"/>
        <v>0</v>
      </c>
    </row>
    <row r="24" spans="3:5" x14ac:dyDescent="0.2">
      <c r="C24" s="6" t="s">
        <v>153</v>
      </c>
      <c r="D24">
        <f>IF($D$2=1,COUNTA(InputSheet!AB:AB)-1,"")</f>
        <v>0</v>
      </c>
      <c r="E24" s="7">
        <f t="shared" si="0"/>
        <v>0</v>
      </c>
    </row>
    <row r="25" spans="3:5" x14ac:dyDescent="0.2">
      <c r="C25" s="6" t="s">
        <v>6</v>
      </c>
      <c r="D25">
        <f>IF($D$2=1,COUNTA(InputSheet!O:O)-1,"")</f>
        <v>0</v>
      </c>
      <c r="E25" s="7">
        <f t="shared" si="0"/>
        <v>0</v>
      </c>
    </row>
    <row r="26" spans="3:5" x14ac:dyDescent="0.2">
      <c r="C26" s="6" t="s">
        <v>142</v>
      </c>
      <c r="D26">
        <f>IF($D$2=1,COUNTA(InputSheet!R:R)-1,"")</f>
        <v>0</v>
      </c>
      <c r="E26" s="7">
        <f t="shared" si="0"/>
        <v>0</v>
      </c>
    </row>
    <row r="27" spans="3:5" x14ac:dyDescent="0.2">
      <c r="C27" s="6" t="s">
        <v>41</v>
      </c>
      <c r="D27">
        <f>IF($D$2=1,COUNTA(InputSheet!E:E)-1,"")</f>
        <v>0</v>
      </c>
      <c r="E27" s="7">
        <f t="shared" si="0"/>
        <v>0</v>
      </c>
    </row>
    <row r="28" spans="3:5" x14ac:dyDescent="0.2">
      <c r="C28" s="6" t="s">
        <v>44</v>
      </c>
      <c r="D28">
        <f>IF($D$2=1,COUNTA(InputSheet!U:U)-1,"")</f>
        <v>0</v>
      </c>
      <c r="E28" s="7">
        <f t="shared" si="0"/>
        <v>0</v>
      </c>
    </row>
    <row r="29" spans="3:5" x14ac:dyDescent="0.2">
      <c r="C29" s="6" t="s">
        <v>7</v>
      </c>
      <c r="D29">
        <f>IF($D$2=1,COUNTA(InputSheet!P:P)-1,"")</f>
        <v>0</v>
      </c>
      <c r="E29" s="7">
        <f t="shared" si="0"/>
        <v>0</v>
      </c>
    </row>
    <row r="30" spans="3:5" x14ac:dyDescent="0.2">
      <c r="C30" s="6" t="s">
        <v>45</v>
      </c>
      <c r="D30">
        <f>IF($D$2=1,COUNTIF(InputSheet!L:L,"&gt;0"),"")</f>
        <v>0</v>
      </c>
      <c r="E30" s="7">
        <f t="shared" si="0"/>
        <v>0</v>
      </c>
    </row>
    <row r="31" spans="3:5" x14ac:dyDescent="0.2">
      <c r="C31" s="6" t="s">
        <v>46</v>
      </c>
      <c r="D31">
        <f>IF($D$2=1,COUNTIF(InputSheet!V:V,"&gt;0"),"")</f>
        <v>0</v>
      </c>
      <c r="E31" s="7">
        <f t="shared" si="0"/>
        <v>0</v>
      </c>
    </row>
    <row r="32" spans="3:5" x14ac:dyDescent="0.2">
      <c r="C32" s="5" t="s">
        <v>22</v>
      </c>
      <c r="D32">
        <f>IF($D$2=1,COUNTA(InputSheet!F:F)-1,"")</f>
        <v>0</v>
      </c>
      <c r="E32" s="7">
        <f t="shared" si="0"/>
        <v>0</v>
      </c>
    </row>
    <row r="33" spans="3:5" x14ac:dyDescent="0.2">
      <c r="C33" s="6" t="s">
        <v>3</v>
      </c>
      <c r="D33">
        <f>IF($D$2=1,COUNTA(InputSheet!H:H)-1,"")</f>
        <v>0</v>
      </c>
      <c r="E33" s="7">
        <f t="shared" si="0"/>
        <v>0</v>
      </c>
    </row>
    <row r="34" spans="3:5" x14ac:dyDescent="0.2">
      <c r="C34" s="6" t="s">
        <v>23</v>
      </c>
      <c r="D34">
        <f>IF($D$2=1,COUNTA(InputSheet!G:G)-1,"")</f>
        <v>0</v>
      </c>
      <c r="E34" s="7">
        <f t="shared" si="0"/>
        <v>0</v>
      </c>
    </row>
    <row r="39" spans="3:5" x14ac:dyDescent="0.2">
      <c r="D39" s="4" t="s">
        <v>35</v>
      </c>
      <c r="E39" s="4" t="s">
        <v>33</v>
      </c>
    </row>
    <row r="40" spans="3:5" x14ac:dyDescent="0.2">
      <c r="C40" s="6" t="s">
        <v>23</v>
      </c>
      <c r="D40">
        <f>IF(D2=1,COUNTIF(InputSheet!G:G,$D$39),"")</f>
        <v>0</v>
      </c>
      <c r="E40">
        <f>IF(D2=1,COUNTIF(InputSheet!G:G,$E$39),"")</f>
        <v>0</v>
      </c>
    </row>
    <row r="41" spans="3:5" x14ac:dyDescent="0.2">
      <c r="D41" s="7" t="e">
        <f>D40/(D40+E40)</f>
        <v>#DIV/0!</v>
      </c>
      <c r="E41" s="7" t="e">
        <f>E40/(D40+E40)</f>
        <v>#DIV/0!</v>
      </c>
    </row>
    <row r="43" spans="3:5" x14ac:dyDescent="0.2">
      <c r="C43" s="4" t="s">
        <v>22</v>
      </c>
      <c r="D43" s="4" t="s">
        <v>39</v>
      </c>
      <c r="E43">
        <f>IF($D$2=1,COUNTIF(InputSheet!F:F,Statistics!D43),"")</f>
        <v>0</v>
      </c>
    </row>
    <row r="44" spans="3:5" x14ac:dyDescent="0.2">
      <c r="D44" s="4" t="s">
        <v>40</v>
      </c>
      <c r="E44">
        <f>IF($D$2=1,COUNTIF(InputSheet!F:F,Statistics!D44),"")</f>
        <v>0</v>
      </c>
    </row>
    <row r="45" spans="3:5" x14ac:dyDescent="0.2">
      <c r="D45" t="s">
        <v>38</v>
      </c>
      <c r="E45">
        <f>IF($D$2=1,COUNTIF(InputSheet!F:F,Statistics!D45),"")</f>
        <v>0</v>
      </c>
    </row>
    <row r="46" spans="3:5" x14ac:dyDescent="0.2">
      <c r="D46" t="s">
        <v>34</v>
      </c>
      <c r="E46">
        <f>IF($D$2=1,COUNTIF(InputSheet!F:F,Statistics!D46),"")</f>
        <v>0</v>
      </c>
    </row>
    <row r="47" spans="3:5" x14ac:dyDescent="0.2">
      <c r="D47" t="s">
        <v>36</v>
      </c>
      <c r="E47">
        <f>IF($D$2=1,COUNTIF(InputSheet!F:F,Statistics!D47),"")</f>
        <v>0</v>
      </c>
    </row>
    <row r="48" spans="3:5" x14ac:dyDescent="0.2">
      <c r="D48" t="s">
        <v>32</v>
      </c>
      <c r="E48">
        <f>IF($D$2=1,COUNTIF(InputSheet!F:F,Statistics!D48),"")</f>
        <v>0</v>
      </c>
    </row>
    <row r="49" spans="2:5" x14ac:dyDescent="0.2">
      <c r="D49" t="s">
        <v>37</v>
      </c>
      <c r="E49">
        <f>IF($D$2=1,COUNTIF(InputSheet!F:F,Statistics!D49),"")</f>
        <v>0</v>
      </c>
    </row>
    <row r="50" spans="2:5" x14ac:dyDescent="0.2">
      <c r="D50" s="4" t="s">
        <v>47</v>
      </c>
      <c r="E50">
        <f>SUM(E43:E49)</f>
        <v>0</v>
      </c>
    </row>
    <row r="52" spans="2:5" x14ac:dyDescent="0.2">
      <c r="D52" s="4" t="s">
        <v>56</v>
      </c>
      <c r="E52" s="8" t="e">
        <f>(E43+E44)/E50</f>
        <v>#DIV/0!</v>
      </c>
    </row>
    <row r="53" spans="2:5" x14ac:dyDescent="0.2">
      <c r="D53" s="4" t="s">
        <v>38</v>
      </c>
      <c r="E53" s="8" t="e">
        <f>E45/$E$50</f>
        <v>#DIV/0!</v>
      </c>
    </row>
    <row r="54" spans="2:5" x14ac:dyDescent="0.2">
      <c r="D54" s="4" t="s">
        <v>34</v>
      </c>
      <c r="E54" s="8" t="e">
        <f>E46/$E$50</f>
        <v>#DIV/0!</v>
      </c>
    </row>
    <row r="55" spans="2:5" x14ac:dyDescent="0.2">
      <c r="D55" s="4" t="s">
        <v>36</v>
      </c>
      <c r="E55" s="8" t="e">
        <f>E47/$E$50</f>
        <v>#DIV/0!</v>
      </c>
    </row>
    <row r="56" spans="2:5" x14ac:dyDescent="0.2">
      <c r="D56" s="4" t="s">
        <v>32</v>
      </c>
      <c r="E56" s="8" t="e">
        <f>E48/$E$50</f>
        <v>#DIV/0!</v>
      </c>
    </row>
    <row r="57" spans="2:5" x14ac:dyDescent="0.2">
      <c r="D57" s="4" t="s">
        <v>37</v>
      </c>
      <c r="E57" s="8" t="e">
        <f>E49/$E$50</f>
        <v>#DIV/0!</v>
      </c>
    </row>
    <row r="64" spans="2:5" x14ac:dyDescent="0.2">
      <c r="B64" s="2" t="s">
        <v>71</v>
      </c>
      <c r="C64" s="2" t="s">
        <v>48</v>
      </c>
    </row>
    <row r="65" spans="2:3" x14ac:dyDescent="0.2">
      <c r="B65" t="s">
        <v>72</v>
      </c>
      <c r="C65">
        <f>COUNTIF(InputSheet!H:H,"*Alabama*")</f>
        <v>0</v>
      </c>
    </row>
    <row r="66" spans="2:3" x14ac:dyDescent="0.2">
      <c r="B66" t="s">
        <v>73</v>
      </c>
      <c r="C66">
        <f>COUNTIF(InputSheet!H:H,"*Alaska*")</f>
        <v>0</v>
      </c>
    </row>
    <row r="67" spans="2:3" x14ac:dyDescent="0.2">
      <c r="B67" t="s">
        <v>74</v>
      </c>
      <c r="C67">
        <f>COUNTIF(InputSheet!H:H,"*Arizona*")</f>
        <v>0</v>
      </c>
    </row>
    <row r="68" spans="2:3" x14ac:dyDescent="0.2">
      <c r="B68" t="s">
        <v>75</v>
      </c>
      <c r="C68">
        <f>COUNTIF(InputSheet!H:H,"*Arkansas*")</f>
        <v>0</v>
      </c>
    </row>
    <row r="69" spans="2:3" x14ac:dyDescent="0.2">
      <c r="B69" t="s">
        <v>76</v>
      </c>
      <c r="C69">
        <f>COUNTIF(InputSheet!H:H,"*California*")</f>
        <v>0</v>
      </c>
    </row>
    <row r="70" spans="2:3" x14ac:dyDescent="0.2">
      <c r="B70" t="s">
        <v>77</v>
      </c>
      <c r="C70">
        <f>COUNTIF(InputSheet!H:H,"*Colorado*")</f>
        <v>0</v>
      </c>
    </row>
    <row r="71" spans="2:3" x14ac:dyDescent="0.2">
      <c r="B71" t="s">
        <v>78</v>
      </c>
      <c r="C71">
        <f>COUNTIF(InputSheet!H:H,"*Connecticut*")</f>
        <v>0</v>
      </c>
    </row>
    <row r="72" spans="2:3" x14ac:dyDescent="0.2">
      <c r="B72" t="s">
        <v>79</v>
      </c>
      <c r="C72">
        <f>COUNTIF(InputSheet!H:H,"*Delaware*")</f>
        <v>0</v>
      </c>
    </row>
    <row r="73" spans="2:3" x14ac:dyDescent="0.2">
      <c r="B73" t="s">
        <v>80</v>
      </c>
      <c r="C73">
        <f>COUNTIF(InputSheet!H:H,"*Florida*")</f>
        <v>0</v>
      </c>
    </row>
    <row r="74" spans="2:3" x14ac:dyDescent="0.2">
      <c r="B74" s="4" t="s">
        <v>81</v>
      </c>
      <c r="C74">
        <f>COUNTIF(InputSheet!H:H,"*Georgia*")</f>
        <v>0</v>
      </c>
    </row>
    <row r="75" spans="2:3" x14ac:dyDescent="0.2">
      <c r="B75" s="4" t="s">
        <v>82</v>
      </c>
      <c r="C75">
        <f>COUNTIF(InputSheet!H:H,"*Hawaii*")</f>
        <v>0</v>
      </c>
    </row>
    <row r="76" spans="2:3" x14ac:dyDescent="0.2">
      <c r="B76" s="4" t="s">
        <v>83</v>
      </c>
      <c r="C76">
        <f>COUNTIF(InputSheet!H:H,"*Idaho*")</f>
        <v>0</v>
      </c>
    </row>
    <row r="77" spans="2:3" x14ac:dyDescent="0.2">
      <c r="B77" s="4" t="s">
        <v>84</v>
      </c>
      <c r="C77">
        <f>COUNTIF(InputSheet!H:H,"*Illinois*")</f>
        <v>0</v>
      </c>
    </row>
    <row r="78" spans="2:3" x14ac:dyDescent="0.2">
      <c r="B78" s="4" t="s">
        <v>85</v>
      </c>
      <c r="C78">
        <f>COUNTIF(InputSheet!H:H,"*Indiana*")</f>
        <v>0</v>
      </c>
    </row>
    <row r="79" spans="2:3" x14ac:dyDescent="0.2">
      <c r="B79" s="4" t="s">
        <v>86</v>
      </c>
      <c r="C79">
        <f>COUNTIF(InputSheet!H:H,"*Iowa*")</f>
        <v>0</v>
      </c>
    </row>
    <row r="80" spans="2:3" x14ac:dyDescent="0.2">
      <c r="B80" s="4" t="s">
        <v>87</v>
      </c>
      <c r="C80">
        <f>COUNTIF(InputSheet!H:H,"*Kansas*")</f>
        <v>0</v>
      </c>
    </row>
    <row r="81" spans="2:3" x14ac:dyDescent="0.2">
      <c r="B81" s="4" t="s">
        <v>88</v>
      </c>
      <c r="C81">
        <f>COUNTIF(InputSheet!H:H,"*Kentucky*")</f>
        <v>0</v>
      </c>
    </row>
    <row r="82" spans="2:3" x14ac:dyDescent="0.2">
      <c r="B82" s="4" t="s">
        <v>89</v>
      </c>
      <c r="C82">
        <f>COUNTIF(InputSheet!H:H,"*Louisiana*")</f>
        <v>0</v>
      </c>
    </row>
    <row r="83" spans="2:3" x14ac:dyDescent="0.2">
      <c r="B83" s="4" t="s">
        <v>90</v>
      </c>
      <c r="C83">
        <f>COUNTIF(InputSheet!H:H,"*Maine*")</f>
        <v>0</v>
      </c>
    </row>
    <row r="84" spans="2:3" x14ac:dyDescent="0.2">
      <c r="B84" s="4" t="s">
        <v>91</v>
      </c>
      <c r="C84">
        <f>COUNTIF(InputSheet!H:H,"*Maryland*")</f>
        <v>0</v>
      </c>
    </row>
    <row r="85" spans="2:3" x14ac:dyDescent="0.2">
      <c r="B85" s="4" t="s">
        <v>92</v>
      </c>
      <c r="C85">
        <f>COUNTIF(InputSheet!H:H,"*Massachusetts*")</f>
        <v>0</v>
      </c>
    </row>
    <row r="86" spans="2:3" x14ac:dyDescent="0.2">
      <c r="B86" s="4" t="s">
        <v>93</v>
      </c>
      <c r="C86">
        <f>COUNTIF(InputSheet!H:H,"*Michigan*")</f>
        <v>0</v>
      </c>
    </row>
    <row r="87" spans="2:3" x14ac:dyDescent="0.2">
      <c r="B87" s="4" t="s">
        <v>94</v>
      </c>
      <c r="C87">
        <f>COUNTIF(InputSheet!H:H,"*Minnesota*")</f>
        <v>0</v>
      </c>
    </row>
    <row r="88" spans="2:3" x14ac:dyDescent="0.2">
      <c r="B88" s="4" t="s">
        <v>95</v>
      </c>
      <c r="C88">
        <f>COUNTIF(InputSheet!H:H,"*Mississippi*")</f>
        <v>0</v>
      </c>
    </row>
    <row r="89" spans="2:3" x14ac:dyDescent="0.2">
      <c r="B89" s="4" t="s">
        <v>96</v>
      </c>
      <c r="C89">
        <f>COUNTIF(InputSheet!H:H,"*Missouri*")</f>
        <v>0</v>
      </c>
    </row>
    <row r="90" spans="2:3" x14ac:dyDescent="0.2">
      <c r="B90" s="4" t="s">
        <v>97</v>
      </c>
      <c r="C90">
        <f>COUNTIF(InputSheet!H:H,"*Montana*")</f>
        <v>0</v>
      </c>
    </row>
    <row r="91" spans="2:3" x14ac:dyDescent="0.2">
      <c r="B91" s="4" t="s">
        <v>98</v>
      </c>
      <c r="C91">
        <f>COUNTIF(InputSheet!H:H,"*Nebraska*")</f>
        <v>0</v>
      </c>
    </row>
    <row r="92" spans="2:3" x14ac:dyDescent="0.2">
      <c r="B92" s="4" t="s">
        <v>99</v>
      </c>
      <c r="C92">
        <f>COUNTIF(InputSheet!H:H,"*Nevada*")</f>
        <v>0</v>
      </c>
    </row>
    <row r="93" spans="2:3" x14ac:dyDescent="0.2">
      <c r="B93" s="4" t="s">
        <v>112</v>
      </c>
      <c r="C93">
        <f>COUNTIF(InputSheet!H:H,"*New Hampshire*")</f>
        <v>0</v>
      </c>
    </row>
    <row r="94" spans="2:3" x14ac:dyDescent="0.2">
      <c r="B94" s="4" t="s">
        <v>113</v>
      </c>
      <c r="C94">
        <f>COUNTIF(InputSheet!H:H,"*New Jersey*")</f>
        <v>0</v>
      </c>
    </row>
    <row r="95" spans="2:3" x14ac:dyDescent="0.2">
      <c r="B95" s="4" t="s">
        <v>114</v>
      </c>
      <c r="C95">
        <f>COUNTIF(InputSheet!H:H,"*New Mexico*")</f>
        <v>0</v>
      </c>
    </row>
    <row r="96" spans="2:3" x14ac:dyDescent="0.2">
      <c r="B96" s="4" t="s">
        <v>115</v>
      </c>
      <c r="C96">
        <f>COUNTIF(InputSheet!H:H,"*New York*")</f>
        <v>0</v>
      </c>
    </row>
    <row r="97" spans="2:6" x14ac:dyDescent="0.2">
      <c r="B97" s="4" t="s">
        <v>116</v>
      </c>
      <c r="C97">
        <f>COUNTIF(InputSheet!H:H,"*North Carolina*")</f>
        <v>0</v>
      </c>
    </row>
    <row r="98" spans="2:6" x14ac:dyDescent="0.2">
      <c r="B98" s="4" t="s">
        <v>117</v>
      </c>
      <c r="C98">
        <f>COUNTIF(InputSheet!H:H,"*North Dakota*")</f>
        <v>0</v>
      </c>
    </row>
    <row r="99" spans="2:6" x14ac:dyDescent="0.2">
      <c r="B99" s="4" t="s">
        <v>100</v>
      </c>
      <c r="C99">
        <f>COUNTIF(InputSheet!H:H,"*Ohio*")</f>
        <v>0</v>
      </c>
    </row>
    <row r="100" spans="2:6" x14ac:dyDescent="0.2">
      <c r="B100" s="4" t="s">
        <v>101</v>
      </c>
      <c r="C100">
        <f>COUNTIF(InputSheet!H:H,"*Oklahoma*")</f>
        <v>0</v>
      </c>
    </row>
    <row r="101" spans="2:6" x14ac:dyDescent="0.2">
      <c r="B101" s="4" t="s">
        <v>102</v>
      </c>
      <c r="C101">
        <f>COUNTIF(InputSheet!H:H,"*Oregon*")</f>
        <v>0</v>
      </c>
    </row>
    <row r="102" spans="2:6" x14ac:dyDescent="0.2">
      <c r="B102" s="4" t="s">
        <v>103</v>
      </c>
      <c r="C102">
        <f>COUNTIF(InputSheet!H:H,"*Pennsylvania*")</f>
        <v>0</v>
      </c>
    </row>
    <row r="103" spans="2:6" x14ac:dyDescent="0.2">
      <c r="B103" s="4" t="s">
        <v>118</v>
      </c>
      <c r="C103">
        <f>COUNTIF(InputSheet!H:H,"*Rhode Island*")</f>
        <v>0</v>
      </c>
    </row>
    <row r="104" spans="2:6" x14ac:dyDescent="0.2">
      <c r="B104" s="4" t="s">
        <v>119</v>
      </c>
      <c r="C104">
        <f>COUNTIF(InputSheet!H:H,"*South Carolina*")</f>
        <v>0</v>
      </c>
    </row>
    <row r="105" spans="2:6" x14ac:dyDescent="0.2">
      <c r="B105" s="4" t="s">
        <v>120</v>
      </c>
      <c r="C105">
        <f>COUNTIF(InputSheet!H:H,"*South Dakota*")</f>
        <v>0</v>
      </c>
    </row>
    <row r="106" spans="2:6" x14ac:dyDescent="0.2">
      <c r="B106" s="4" t="s">
        <v>104</v>
      </c>
      <c r="C106">
        <f>COUNTIF(InputSheet!H:H,"*Tennessee*")</f>
        <v>0</v>
      </c>
    </row>
    <row r="107" spans="2:6" x14ac:dyDescent="0.2">
      <c r="B107" s="4" t="s">
        <v>105</v>
      </c>
      <c r="C107">
        <f>COUNTIF(InputSheet!H:H,"*Texas*")</f>
        <v>0</v>
      </c>
    </row>
    <row r="108" spans="2:6" x14ac:dyDescent="0.2">
      <c r="B108" s="4" t="s">
        <v>106</v>
      </c>
      <c r="C108">
        <f>COUNTIF(InputSheet!H:H,"*Utah*")</f>
        <v>0</v>
      </c>
    </row>
    <row r="109" spans="2:6" x14ac:dyDescent="0.2">
      <c r="B109" s="4" t="s">
        <v>107</v>
      </c>
      <c r="C109">
        <f>COUNTIF(InputSheet!H:H,"*Vermont*")</f>
        <v>0</v>
      </c>
    </row>
    <row r="110" spans="2:6" x14ac:dyDescent="0.2">
      <c r="B110" s="4" t="s">
        <v>108</v>
      </c>
      <c r="C110">
        <f>COUNTIF(InputSheet!H:H,"*Virginia*")</f>
        <v>0</v>
      </c>
    </row>
    <row r="111" spans="2:6" x14ac:dyDescent="0.2">
      <c r="B111" s="4" t="s">
        <v>109</v>
      </c>
      <c r="C111">
        <f>COUNTIF(InputSheet!H:H,"*, Washington*")</f>
        <v>0</v>
      </c>
      <c r="E111" s="28"/>
      <c r="F111" s="28" t="s">
        <v>139</v>
      </c>
    </row>
    <row r="112" spans="2:6" x14ac:dyDescent="0.2">
      <c r="B112" s="4" t="s">
        <v>121</v>
      </c>
      <c r="C112">
        <f>COUNTIF(InputSheet!H:H,"*West Virginia*")</f>
        <v>0</v>
      </c>
    </row>
    <row r="113" spans="2:11" x14ac:dyDescent="0.2">
      <c r="B113" s="4" t="s">
        <v>110</v>
      </c>
      <c r="C113">
        <f>COUNTIF(InputSheet!H:H,"*Wisconsin*")</f>
        <v>0</v>
      </c>
    </row>
    <row r="114" spans="2:11" x14ac:dyDescent="0.2">
      <c r="B114" s="4" t="s">
        <v>111</v>
      </c>
      <c r="C114">
        <f>COUNTIF(InputSheet!H:H,"*Wyoming*")</f>
        <v>0</v>
      </c>
    </row>
    <row r="115" spans="2:11" x14ac:dyDescent="0.2">
      <c r="B115" s="4" t="s">
        <v>140</v>
      </c>
      <c r="C115">
        <f>COUNTIF(InputSheet!H:H,"*District of Columbia*")</f>
        <v>0</v>
      </c>
    </row>
    <row r="116" spans="2:11" x14ac:dyDescent="0.2">
      <c r="B116" s="2" t="s">
        <v>47</v>
      </c>
      <c r="C116" s="2">
        <f>SUM(C65:C115)</f>
        <v>0</v>
      </c>
    </row>
    <row r="117" spans="2:11" ht="18" x14ac:dyDescent="0.25">
      <c r="K117" s="15"/>
    </row>
    <row r="118" spans="2:11" x14ac:dyDescent="0.2">
      <c r="C118" s="4" t="s">
        <v>134</v>
      </c>
      <c r="D118" s="4" t="s">
        <v>140</v>
      </c>
      <c r="E118" s="4" t="s">
        <v>127</v>
      </c>
    </row>
    <row r="119" spans="2:11" x14ac:dyDescent="0.2">
      <c r="C119" s="4" t="s">
        <v>135</v>
      </c>
      <c r="D119" s="26">
        <f>VLOOKUP(actReg,regData,2,FALSE)</f>
        <v>0</v>
      </c>
      <c r="E119" s="4" t="s">
        <v>129</v>
      </c>
    </row>
    <row r="120" spans="2:11" x14ac:dyDescent="0.2">
      <c r="C120" s="4" t="s">
        <v>133</v>
      </c>
      <c r="D120" s="4" t="str">
        <f>VLOOKUP(actRegValue,classValues,2,TRUE)</f>
        <v>class5</v>
      </c>
      <c r="E120" s="4" t="s">
        <v>128</v>
      </c>
    </row>
    <row r="124" spans="2:11" x14ac:dyDescent="0.2">
      <c r="C124">
        <v>0</v>
      </c>
      <c r="D124" s="4" t="s">
        <v>131</v>
      </c>
    </row>
    <row r="125" spans="2:11" x14ac:dyDescent="0.2">
      <c r="C125">
        <f>ROUNDUP((MAX($C$65:$C$114)*0.1167),0)</f>
        <v>0</v>
      </c>
      <c r="D125" s="4" t="s">
        <v>122</v>
      </c>
    </row>
    <row r="126" spans="2:11" x14ac:dyDescent="0.2">
      <c r="C126">
        <f>ROUNDUP((MAX($C$65:$C$114)*0.334),0)</f>
        <v>0</v>
      </c>
      <c r="D126" s="4" t="s">
        <v>123</v>
      </c>
    </row>
    <row r="127" spans="2:11" x14ac:dyDescent="0.2">
      <c r="C127">
        <f>ROUNDUP((MAX($C$65:$C$114)*0.5),0)</f>
        <v>0</v>
      </c>
      <c r="D127" s="4" t="s">
        <v>124</v>
      </c>
    </row>
    <row r="128" spans="2:11" x14ac:dyDescent="0.2">
      <c r="C128">
        <f>ROUNDUP((MAX($C$65:$C$114)*0.667),0)</f>
        <v>0</v>
      </c>
      <c r="D128" s="4" t="s">
        <v>125</v>
      </c>
    </row>
    <row r="129" spans="3:6" x14ac:dyDescent="0.2">
      <c r="C129">
        <f>ROUNDUP((MAX($C$65:$C$114)*0.833),0)</f>
        <v>0</v>
      </c>
      <c r="D129" s="4" t="s">
        <v>126</v>
      </c>
    </row>
    <row r="131" spans="3:6" x14ac:dyDescent="0.2">
      <c r="F131" s="6"/>
    </row>
    <row r="138" spans="3:6" x14ac:dyDescent="0.2">
      <c r="C138" s="58" t="s">
        <v>164</v>
      </c>
    </row>
    <row r="140" spans="3:6" ht="27" x14ac:dyDescent="0.35">
      <c r="C140" s="51"/>
    </row>
    <row r="141" spans="3:6" ht="23.25" x14ac:dyDescent="0.35">
      <c r="C141" s="34"/>
    </row>
    <row r="142" spans="3:6" ht="33" x14ac:dyDescent="0.45">
      <c r="C142" s="48"/>
    </row>
    <row r="143" spans="3:6" ht="27" x14ac:dyDescent="0.35">
      <c r="C143" s="52"/>
    </row>
    <row r="144" spans="3:6" ht="23.25" x14ac:dyDescent="0.35">
      <c r="C144" s="35"/>
    </row>
    <row r="145" spans="3:3" ht="27" x14ac:dyDescent="0.35">
      <c r="C145" s="50"/>
    </row>
    <row r="146" spans="3:3" ht="23.25" x14ac:dyDescent="0.35">
      <c r="C146" s="33"/>
    </row>
    <row r="147" spans="3:3" ht="18" x14ac:dyDescent="0.25">
      <c r="C147" s="53"/>
    </row>
    <row r="148" spans="3:3" ht="33" x14ac:dyDescent="0.45">
      <c r="C148" s="49"/>
    </row>
    <row r="149" spans="3:3" ht="33" x14ac:dyDescent="0.45">
      <c r="C149" s="47"/>
    </row>
    <row r="150" spans="3:3" ht="18" x14ac:dyDescent="0.25">
      <c r="C150" s="55"/>
    </row>
    <row r="151" spans="3:3" ht="18" x14ac:dyDescent="0.25">
      <c r="C151" s="54"/>
    </row>
    <row r="152" spans="3:3" ht="15" x14ac:dyDescent="0.2">
      <c r="C152" s="42"/>
    </row>
    <row r="153" spans="3:3" ht="15" x14ac:dyDescent="0.2">
      <c r="C153" s="43"/>
    </row>
    <row r="154" spans="3:3" ht="15" x14ac:dyDescent="0.2">
      <c r="C154" s="41"/>
    </row>
    <row r="155" spans="3:3" ht="15" x14ac:dyDescent="0.2">
      <c r="C155" s="44"/>
    </row>
    <row r="156" spans="3:3" ht="15" x14ac:dyDescent="0.2">
      <c r="C156" s="45"/>
    </row>
    <row r="157" spans="3:3" ht="15" x14ac:dyDescent="0.2">
      <c r="C157" s="46"/>
    </row>
    <row r="158" spans="3:3" ht="15" x14ac:dyDescent="0.2">
      <c r="C158" s="36"/>
    </row>
    <row r="159" spans="3:3" ht="15" x14ac:dyDescent="0.2">
      <c r="C159" s="37"/>
    </row>
    <row r="160" spans="3:3" ht="15" x14ac:dyDescent="0.2">
      <c r="C160" s="38"/>
    </row>
    <row r="161" spans="3:11" ht="15" x14ac:dyDescent="0.2">
      <c r="C161" s="39"/>
    </row>
    <row r="162" spans="3:11" ht="15" x14ac:dyDescent="0.2">
      <c r="C162" s="40"/>
    </row>
    <row r="163" spans="3:11" ht="23.25" x14ac:dyDescent="0.35">
      <c r="C163" s="33"/>
    </row>
    <row r="164" spans="3:11" ht="23.25" x14ac:dyDescent="0.35">
      <c r="C164" s="34"/>
    </row>
    <row r="167" spans="3:11" x14ac:dyDescent="0.2">
      <c r="C167" s="4"/>
    </row>
    <row r="168" spans="3:11" x14ac:dyDescent="0.2">
      <c r="C168" s="4"/>
    </row>
    <row r="173" spans="3:11" ht="12.75" customHeight="1" x14ac:dyDescent="0.3">
      <c r="C173" s="31"/>
      <c r="D173" s="31"/>
      <c r="E173" s="31"/>
      <c r="F173" s="31"/>
      <c r="G173" s="31"/>
      <c r="H173" s="31"/>
      <c r="I173" s="31"/>
      <c r="J173" s="31"/>
      <c r="K173" s="31"/>
    </row>
    <row r="174" spans="3:11" ht="12.75" customHeight="1" x14ac:dyDescent="0.3">
      <c r="C174" s="31"/>
      <c r="D174" s="31"/>
      <c r="E174" s="31"/>
      <c r="F174" s="31"/>
      <c r="G174" s="31"/>
      <c r="H174" s="31"/>
      <c r="I174" s="31"/>
      <c r="J174" s="31"/>
      <c r="K174" s="31"/>
    </row>
    <row r="175" spans="3:11" ht="12.75" customHeight="1" x14ac:dyDescent="0.3">
      <c r="C175" s="31"/>
      <c r="D175" s="31"/>
      <c r="E175" s="31"/>
      <c r="F175" s="31"/>
      <c r="G175" s="31"/>
      <c r="H175" s="31"/>
      <c r="I175" s="31"/>
      <c r="J175" s="31"/>
      <c r="K175" s="31"/>
    </row>
    <row r="176" spans="3:11" ht="12.75" customHeight="1" x14ac:dyDescent="0.3">
      <c r="C176" s="31"/>
      <c r="D176" s="31"/>
      <c r="E176" s="31"/>
      <c r="F176" s="31"/>
      <c r="G176" s="31"/>
      <c r="H176" s="31"/>
      <c r="I176" s="31"/>
      <c r="J176" s="31"/>
      <c r="K176" s="31"/>
    </row>
  </sheetData>
  <sortState ref="C140:D164">
    <sortCondition ref="C140"/>
  </sortState>
  <phoneticPr fontId="2" type="noConversion"/>
  <pageMargins left="0.25" right="0.25" top="0.75" bottom="0.75" header="0.3" footer="0.3"/>
  <pageSetup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P116"/>
  <sheetViews>
    <sheetView topLeftCell="A7" zoomScale="75" zoomScaleNormal="75" workbookViewId="0">
      <selection activeCell="H34" sqref="H34"/>
    </sheetView>
  </sheetViews>
  <sheetFormatPr defaultRowHeight="12.75" x14ac:dyDescent="0.2"/>
  <cols>
    <col min="1" max="1" width="1.7109375" customWidth="1"/>
    <col min="16" max="16" width="2.7109375" customWidth="1"/>
  </cols>
  <sheetData>
    <row r="1" spans="2:7" x14ac:dyDescent="0.2">
      <c r="E1" s="3"/>
    </row>
    <row r="2" spans="2:7" ht="18" x14ac:dyDescent="0.25">
      <c r="B2" s="15" t="str">
        <f ca="1">CONCATENATE("Results for ",Statistics!D1)</f>
        <v>Results for FullContact Person Enrichment - Template.xltm</v>
      </c>
      <c r="D2" s="3"/>
    </row>
    <row r="4" spans="2:7" ht="13.5" thickBot="1" x14ac:dyDescent="0.25"/>
    <row r="5" spans="2:7" ht="13.5" thickBot="1" x14ac:dyDescent="0.25">
      <c r="B5" s="16"/>
      <c r="C5" s="16"/>
      <c r="D5" s="13"/>
      <c r="E5" s="13" t="s">
        <v>48</v>
      </c>
      <c r="F5" s="13" t="s">
        <v>50</v>
      </c>
      <c r="G5" s="16"/>
    </row>
    <row r="6" spans="2:7" x14ac:dyDescent="0.2">
      <c r="B6" s="14" t="s">
        <v>51</v>
      </c>
      <c r="E6">
        <f>IF(Statistics!D2=1,Statistics!D5,"")</f>
        <v>1</v>
      </c>
    </row>
    <row r="7" spans="2:7" x14ac:dyDescent="0.2">
      <c r="B7" s="14" t="s">
        <v>160</v>
      </c>
      <c r="E7">
        <f>IF(Statistics!D2=1,Statistics!D3,"")</f>
        <v>0</v>
      </c>
      <c r="F7" s="7">
        <f>E7/E6</f>
        <v>0</v>
      </c>
    </row>
    <row r="8" spans="2:7" x14ac:dyDescent="0.2">
      <c r="B8" s="14" t="s">
        <v>161</v>
      </c>
      <c r="E8">
        <f>IF(Statistics!D2=1,Statistics!D7,"")</f>
        <v>0</v>
      </c>
      <c r="F8" s="7">
        <f>E8/E6</f>
        <v>0</v>
      </c>
    </row>
    <row r="9" spans="2:7" x14ac:dyDescent="0.2">
      <c r="B9" s="14" t="s">
        <v>162</v>
      </c>
      <c r="E9">
        <f>IF(Statistics!D2=1,Statistics!D8,"")</f>
        <v>0</v>
      </c>
      <c r="F9" s="7">
        <f>E9/E6</f>
        <v>0</v>
      </c>
    </row>
    <row r="12" spans="2:7" x14ac:dyDescent="0.2">
      <c r="B12" s="2" t="s">
        <v>52</v>
      </c>
    </row>
    <row r="13" spans="2:7" ht="13.5" thickBot="1" x14ac:dyDescent="0.25"/>
    <row r="14" spans="2:7" ht="13.5" thickBot="1" x14ac:dyDescent="0.25">
      <c r="B14" s="12"/>
      <c r="C14" s="12"/>
      <c r="D14" s="13" t="s">
        <v>54</v>
      </c>
      <c r="E14" s="13"/>
      <c r="F14" s="13" t="s">
        <v>55</v>
      </c>
      <c r="G14" s="12"/>
    </row>
    <row r="15" spans="2:7" x14ac:dyDescent="0.2">
      <c r="D15" s="9" t="s">
        <v>53</v>
      </c>
    </row>
    <row r="16" spans="2:7" x14ac:dyDescent="0.2">
      <c r="B16" t="str">
        <f>Statistics!C13</f>
        <v>Has IM</v>
      </c>
      <c r="D16">
        <f>Statistics!D13</f>
        <v>0</v>
      </c>
      <c r="F16" s="10">
        <f>Statistics!E13</f>
        <v>0</v>
      </c>
    </row>
    <row r="17" spans="2:6" x14ac:dyDescent="0.2">
      <c r="B17" t="str">
        <f>Statistics!C14</f>
        <v>Google+</v>
      </c>
      <c r="D17">
        <f>Statistics!D14</f>
        <v>0</v>
      </c>
      <c r="F17" s="10">
        <f>Statistics!E14</f>
        <v>0</v>
      </c>
    </row>
    <row r="18" spans="2:6" x14ac:dyDescent="0.2">
      <c r="B18" t="str">
        <f>Statistics!C15</f>
        <v>Company</v>
      </c>
      <c r="D18">
        <f>Statistics!D15</f>
        <v>0</v>
      </c>
      <c r="F18" s="10">
        <f>Statistics!E15</f>
        <v>0</v>
      </c>
    </row>
    <row r="19" spans="2:6" x14ac:dyDescent="0.2">
      <c r="B19" t="str">
        <f>Statistics!C16</f>
        <v>Occupation</v>
      </c>
      <c r="D19">
        <f>Statistics!D16</f>
        <v>0</v>
      </c>
      <c r="F19" s="10">
        <f>Statistics!E16</f>
        <v>0</v>
      </c>
    </row>
    <row r="20" spans="2:6" x14ac:dyDescent="0.2">
      <c r="B20" t="str">
        <f>Statistics!C17</f>
        <v>LinkedIn</v>
      </c>
      <c r="D20">
        <f>Statistics!D17</f>
        <v>0</v>
      </c>
      <c r="F20" s="10">
        <f>Statistics!E17</f>
        <v>0</v>
      </c>
    </row>
    <row r="21" spans="2:6" x14ac:dyDescent="0.2">
      <c r="B21" t="str">
        <f>Statistics!C18</f>
        <v>Has RSS</v>
      </c>
      <c r="D21">
        <f>Statistics!D18</f>
        <v>0</v>
      </c>
      <c r="F21" s="10">
        <f>Statistics!E18</f>
        <v>0</v>
      </c>
    </row>
    <row r="22" spans="2:6" x14ac:dyDescent="0.2">
      <c r="B22" t="str">
        <f>Statistics!C19</f>
        <v>Klout</v>
      </c>
      <c r="D22">
        <f>Statistics!D19</f>
        <v>0</v>
      </c>
      <c r="F22" s="10">
        <f>Statistics!E19</f>
        <v>0</v>
      </c>
    </row>
    <row r="23" spans="2:6" x14ac:dyDescent="0.2">
      <c r="B23" t="str">
        <f>Statistics!C20</f>
        <v>Has Bio</v>
      </c>
      <c r="D23">
        <f>Statistics!D20</f>
        <v>0</v>
      </c>
      <c r="F23" s="10">
        <f>Statistics!E20</f>
        <v>0</v>
      </c>
    </row>
    <row r="24" spans="2:6" x14ac:dyDescent="0.2">
      <c r="B24" t="str">
        <f>Statistics!C22</f>
        <v>Has Followers</v>
      </c>
      <c r="D24">
        <f>Statistics!D22</f>
        <v>0</v>
      </c>
      <c r="F24" s="10">
        <f>Statistics!E22</f>
        <v>0</v>
      </c>
    </row>
    <row r="25" spans="2:6" x14ac:dyDescent="0.2">
      <c r="B25" t="str">
        <f>Statistics!C23</f>
        <v>Facebook</v>
      </c>
      <c r="D25">
        <f>Statistics!D23</f>
        <v>0</v>
      </c>
      <c r="F25" s="10">
        <f>Statistics!E23</f>
        <v>0</v>
      </c>
    </row>
    <row r="26" spans="2:6" x14ac:dyDescent="0.2">
      <c r="B26" t="str">
        <f>Statistics!C24</f>
        <v>Is Following</v>
      </c>
      <c r="D26">
        <f>Statistics!D24</f>
        <v>0</v>
      </c>
      <c r="F26" s="10">
        <f>Statistics!E24</f>
        <v>0</v>
      </c>
    </row>
    <row r="27" spans="2:6" x14ac:dyDescent="0.2">
      <c r="B27" t="str">
        <f>Statistics!C25</f>
        <v>Twitter</v>
      </c>
      <c r="D27">
        <f>Statistics!D25</f>
        <v>0</v>
      </c>
      <c r="F27" s="10">
        <f>Statistics!E25</f>
        <v>0</v>
      </c>
    </row>
    <row r="28" spans="2:6" x14ac:dyDescent="0.2">
      <c r="B28" t="str">
        <f>Statistics!C26</f>
        <v>Flickr</v>
      </c>
      <c r="D28">
        <f>Statistics!D26</f>
        <v>0</v>
      </c>
      <c r="F28" s="10">
        <f>Statistics!E26</f>
        <v>0</v>
      </c>
    </row>
    <row r="29" spans="2:6" x14ac:dyDescent="0.2">
      <c r="B29" t="str">
        <f>Statistics!C27</f>
        <v>Name</v>
      </c>
      <c r="D29">
        <f>Statistics!D27</f>
        <v>0</v>
      </c>
      <c r="F29" s="10">
        <f>Statistics!E27</f>
        <v>0</v>
      </c>
    </row>
    <row r="30" spans="2:6" x14ac:dyDescent="0.2">
      <c r="B30" t="str">
        <f>Statistics!C28</f>
        <v>Other Url</v>
      </c>
      <c r="D30">
        <f>Statistics!D28</f>
        <v>0</v>
      </c>
      <c r="F30" s="10">
        <f>Statistics!E28</f>
        <v>0</v>
      </c>
    </row>
    <row r="31" spans="2:6" x14ac:dyDescent="0.2">
      <c r="B31" t="str">
        <f>Statistics!C29</f>
        <v>MySpace</v>
      </c>
      <c r="D31">
        <f>Statistics!D29</f>
        <v>0</v>
      </c>
      <c r="F31" s="10">
        <f>Statistics!E29</f>
        <v>0</v>
      </c>
    </row>
    <row r="32" spans="2:6" x14ac:dyDescent="0.2">
      <c r="B32" t="str">
        <f>Statistics!C30</f>
        <v>Photo Present</v>
      </c>
      <c r="D32">
        <f>Statistics!D30</f>
        <v>0</v>
      </c>
      <c r="F32" s="10">
        <f>Statistics!E30</f>
        <v>0</v>
      </c>
    </row>
    <row r="33" spans="2:7" x14ac:dyDescent="0.2">
      <c r="B33" t="str">
        <f>Statistics!C31</f>
        <v>Url Present</v>
      </c>
      <c r="D33">
        <f>Statistics!D31</f>
        <v>0</v>
      </c>
      <c r="F33" s="10">
        <f>Statistics!E31</f>
        <v>0</v>
      </c>
    </row>
    <row r="34" spans="2:7" x14ac:dyDescent="0.2">
      <c r="B34" t="str">
        <f>Statistics!C32</f>
        <v>Age</v>
      </c>
      <c r="D34">
        <f>Statistics!D32</f>
        <v>0</v>
      </c>
      <c r="F34" s="10">
        <f>Statistics!E32</f>
        <v>0</v>
      </c>
    </row>
    <row r="35" spans="2:7" x14ac:dyDescent="0.2">
      <c r="B35" t="str">
        <f>Statistics!C33</f>
        <v>General Location</v>
      </c>
      <c r="D35">
        <f>Statistics!D33</f>
        <v>0</v>
      </c>
      <c r="F35" s="10">
        <f>Statistics!E33</f>
        <v>0</v>
      </c>
    </row>
    <row r="36" spans="2:7" x14ac:dyDescent="0.2">
      <c r="B36" t="str">
        <f>Statistics!C34</f>
        <v>Gender</v>
      </c>
      <c r="D36">
        <f>Statistics!D34</f>
        <v>0</v>
      </c>
      <c r="F36" s="10">
        <f>Statistics!E34</f>
        <v>0</v>
      </c>
    </row>
    <row r="38" spans="2:7" ht="13.5" thickBot="1" x14ac:dyDescent="0.25"/>
    <row r="39" spans="2:7" ht="14.25" thickTop="1" thickBot="1" x14ac:dyDescent="0.25">
      <c r="B39" s="11"/>
      <c r="C39" s="11"/>
      <c r="D39" s="11"/>
      <c r="E39" s="11"/>
      <c r="F39" s="11"/>
      <c r="G39" s="11"/>
    </row>
    <row r="62" spans="2:15" ht="18" x14ac:dyDescent="0.25">
      <c r="B62" s="15" t="s">
        <v>175</v>
      </c>
    </row>
    <row r="63" spans="2:15" ht="20.25" customHeight="1" x14ac:dyDescent="0.2">
      <c r="C63" s="59"/>
      <c r="D63" s="56"/>
      <c r="E63" s="56"/>
      <c r="F63" s="56"/>
      <c r="G63" s="56"/>
      <c r="H63" s="56"/>
      <c r="I63" s="56"/>
      <c r="J63" s="56"/>
      <c r="K63" s="56"/>
      <c r="L63" s="56"/>
      <c r="M63" s="56"/>
      <c r="N63" s="56"/>
    </row>
    <row r="64" spans="2:15" ht="12.75" customHeight="1" x14ac:dyDescent="0.2">
      <c r="C64" s="56"/>
      <c r="D64" s="56"/>
      <c r="E64" s="56"/>
      <c r="F64" s="56"/>
      <c r="G64" s="56"/>
      <c r="H64" s="56"/>
      <c r="I64" s="56"/>
      <c r="J64" s="56"/>
      <c r="K64" s="56"/>
      <c r="L64" s="56"/>
      <c r="M64" s="56"/>
      <c r="N64" s="56"/>
      <c r="O64" s="32"/>
    </row>
    <row r="65" spans="2:15" ht="12.75" customHeight="1" x14ac:dyDescent="0.2">
      <c r="C65" s="56"/>
      <c r="D65" s="56"/>
      <c r="E65" s="56"/>
      <c r="F65" s="56"/>
      <c r="G65" s="56"/>
      <c r="H65" s="56"/>
      <c r="I65" s="56"/>
      <c r="J65" s="56"/>
      <c r="K65" s="56"/>
      <c r="L65" s="56"/>
      <c r="M65" s="56"/>
      <c r="N65" s="56"/>
      <c r="O65" s="32"/>
    </row>
    <row r="66" spans="2:15" ht="12.75" customHeight="1" x14ac:dyDescent="0.2">
      <c r="C66" s="56"/>
      <c r="D66" s="56"/>
      <c r="E66" s="56"/>
      <c r="F66" s="56"/>
      <c r="G66" s="56"/>
      <c r="H66" s="56"/>
      <c r="I66" s="56"/>
      <c r="J66" s="56"/>
      <c r="K66" s="56"/>
      <c r="L66" s="56"/>
      <c r="M66" s="56"/>
      <c r="N66" s="56"/>
      <c r="O66" s="32"/>
    </row>
    <row r="67" spans="2:15" ht="12.75" customHeight="1" x14ac:dyDescent="0.2">
      <c r="C67" s="56"/>
      <c r="D67" s="56"/>
      <c r="E67" s="56"/>
      <c r="F67" s="56"/>
      <c r="G67" s="56"/>
      <c r="H67" s="56"/>
      <c r="I67" s="56"/>
      <c r="J67" s="56"/>
      <c r="K67" s="56"/>
      <c r="L67" s="56"/>
      <c r="M67" s="56"/>
      <c r="N67" s="56"/>
      <c r="O67" s="32"/>
    </row>
    <row r="68" spans="2:15" ht="12.75" customHeight="1" x14ac:dyDescent="0.2">
      <c r="C68" s="56"/>
      <c r="D68" s="56"/>
      <c r="E68" s="56"/>
      <c r="F68" s="56"/>
      <c r="G68" s="56"/>
      <c r="H68" s="56"/>
      <c r="I68" s="56"/>
      <c r="J68" s="56"/>
      <c r="K68" s="56"/>
      <c r="L68" s="56"/>
      <c r="M68" s="56"/>
      <c r="N68" s="56"/>
      <c r="O68" s="32"/>
    </row>
    <row r="69" spans="2:15" ht="12.75" customHeight="1" x14ac:dyDescent="0.2">
      <c r="C69" s="56"/>
      <c r="D69" s="56"/>
      <c r="E69" s="56"/>
      <c r="F69" s="56"/>
      <c r="G69" s="56"/>
      <c r="H69" s="56"/>
      <c r="I69" s="56"/>
      <c r="J69" s="56"/>
      <c r="K69" s="56"/>
      <c r="L69" s="56"/>
      <c r="M69" s="56"/>
      <c r="N69" s="56"/>
      <c r="O69" s="32"/>
    </row>
    <row r="70" spans="2:15" ht="12.75" customHeight="1" x14ac:dyDescent="0.2">
      <c r="C70" s="56"/>
      <c r="D70" s="56"/>
      <c r="E70" s="56"/>
      <c r="F70" s="56"/>
      <c r="G70" s="56"/>
      <c r="H70" s="56"/>
      <c r="I70" s="56"/>
      <c r="J70" s="56"/>
      <c r="K70" s="56"/>
      <c r="L70" s="56"/>
      <c r="M70" s="56"/>
      <c r="N70" s="56"/>
      <c r="O70" s="32"/>
    </row>
    <row r="71" spans="2:15" ht="12.75" customHeight="1" x14ac:dyDescent="0.2">
      <c r="C71" s="56"/>
      <c r="D71" s="56"/>
      <c r="E71" s="56"/>
      <c r="F71" s="56"/>
      <c r="G71" s="56"/>
      <c r="H71" s="56"/>
      <c r="I71" s="56"/>
      <c r="J71" s="56"/>
      <c r="K71" s="56"/>
      <c r="L71" s="56"/>
      <c r="M71" s="56"/>
      <c r="N71" s="56"/>
      <c r="O71" s="32"/>
    </row>
    <row r="72" spans="2:15" ht="12.75" customHeight="1" x14ac:dyDescent="0.2">
      <c r="C72" s="56"/>
      <c r="D72" s="56"/>
      <c r="E72" s="56"/>
      <c r="F72" s="56"/>
      <c r="G72" s="56"/>
      <c r="H72" s="56"/>
      <c r="I72" s="56"/>
      <c r="J72" s="56"/>
      <c r="K72" s="56"/>
      <c r="L72" s="56"/>
      <c r="M72" s="56"/>
      <c r="N72" s="56"/>
    </row>
    <row r="73" spans="2:15" ht="12.75" customHeight="1" x14ac:dyDescent="0.2">
      <c r="C73" s="56"/>
      <c r="D73" s="56"/>
      <c r="E73" s="56"/>
      <c r="F73" s="56"/>
      <c r="G73" s="56"/>
      <c r="H73" s="56"/>
      <c r="I73" s="56"/>
      <c r="J73" s="56"/>
      <c r="K73" s="56"/>
      <c r="L73" s="56"/>
      <c r="M73" s="56"/>
      <c r="N73" s="56"/>
    </row>
    <row r="74" spans="2:15" ht="12.75" customHeight="1" x14ac:dyDescent="0.2">
      <c r="C74" s="32"/>
      <c r="D74" s="32"/>
      <c r="E74" s="32"/>
      <c r="F74" s="32"/>
      <c r="G74" s="32"/>
      <c r="H74" s="32"/>
      <c r="I74" s="32"/>
      <c r="J74" s="32"/>
      <c r="K74" s="32"/>
      <c r="L74" s="32"/>
      <c r="M74" s="32"/>
      <c r="N74" s="32"/>
    </row>
    <row r="75" spans="2:15" x14ac:dyDescent="0.2">
      <c r="B75" s="57" t="s">
        <v>163</v>
      </c>
    </row>
    <row r="107" spans="15:16" x14ac:dyDescent="0.2">
      <c r="O107" s="63" t="s">
        <v>130</v>
      </c>
      <c r="P107" s="63"/>
    </row>
    <row r="108" spans="15:16" x14ac:dyDescent="0.2">
      <c r="O108" s="27" t="str">
        <f>CONCATENATE(Statistics!C124,"-",Statistics!C125-1)</f>
        <v>0--1</v>
      </c>
    </row>
    <row r="109" spans="15:16" x14ac:dyDescent="0.2">
      <c r="O109" s="27" t="str">
        <f>CONCATENATE(Statistics!C125,"-",Statistics!C126-1)</f>
        <v>0--1</v>
      </c>
      <c r="P109" s="25"/>
    </row>
    <row r="110" spans="15:16" x14ac:dyDescent="0.2">
      <c r="O110" s="27" t="str">
        <f>CONCATENATE(Statistics!C126,"-",Statistics!C127-1)</f>
        <v>0--1</v>
      </c>
      <c r="P110" s="23"/>
    </row>
    <row r="111" spans="15:16" x14ac:dyDescent="0.2">
      <c r="O111" s="27" t="str">
        <f>CONCATENATE(Statistics!C127,"-",Statistics!C128-1)</f>
        <v>0--1</v>
      </c>
      <c r="P111" s="24"/>
    </row>
    <row r="112" spans="15:16" x14ac:dyDescent="0.2">
      <c r="O112" s="27" t="str">
        <f>CONCATENATE(Statistics!C128,"-",Statistics!C129-1)</f>
        <v>0--1</v>
      </c>
      <c r="P112" s="22"/>
    </row>
    <row r="113" spans="5:16" x14ac:dyDescent="0.2">
      <c r="O113" s="27" t="str">
        <f>CONCATENATE(Statistics!C129,"+")</f>
        <v>0+</v>
      </c>
      <c r="P113" s="21"/>
    </row>
    <row r="116" spans="5:16" ht="18" x14ac:dyDescent="0.25">
      <c r="E116" s="15" t="s">
        <v>132</v>
      </c>
    </row>
  </sheetData>
  <mergeCells count="1">
    <mergeCell ref="O107:P107"/>
  </mergeCells>
  <pageMargins left="0.25" right="0.25" top="0.75" bottom="0.75" header="0.3" footer="0.3"/>
  <pageSetup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B10"/>
  <sheetViews>
    <sheetView showGridLines="0" workbookViewId="0"/>
  </sheetViews>
  <sheetFormatPr defaultRowHeight="12.75" x14ac:dyDescent="0.2"/>
  <cols>
    <col min="1" max="1" width="3.28515625" customWidth="1"/>
  </cols>
  <sheetData>
    <row r="2" spans="1:2" x14ac:dyDescent="0.2">
      <c r="A2" s="2" t="s">
        <v>63</v>
      </c>
    </row>
    <row r="3" spans="1:2" x14ac:dyDescent="0.2">
      <c r="B3" s="4" t="s">
        <v>159</v>
      </c>
    </row>
    <row r="4" spans="1:2" x14ac:dyDescent="0.2">
      <c r="B4" s="4" t="s">
        <v>64</v>
      </c>
    </row>
    <row r="5" spans="1:2" x14ac:dyDescent="0.2">
      <c r="B5" s="4" t="s">
        <v>66</v>
      </c>
    </row>
    <row r="6" spans="1:2" x14ac:dyDescent="0.2">
      <c r="B6" s="4" t="s">
        <v>67</v>
      </c>
    </row>
    <row r="7" spans="1:2" x14ac:dyDescent="0.2">
      <c r="B7" s="4" t="s">
        <v>69</v>
      </c>
    </row>
    <row r="8" spans="1:2" x14ac:dyDescent="0.2">
      <c r="B8" s="4" t="s">
        <v>68</v>
      </c>
    </row>
    <row r="9" spans="1:2" x14ac:dyDescent="0.2">
      <c r="B9" s="4" t="s">
        <v>65</v>
      </c>
    </row>
    <row r="10" spans="1:2" x14ac:dyDescent="0.2">
      <c r="B10" s="4" t="s">
        <v>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23</vt:i4>
      </vt:variant>
    </vt:vector>
  </HeadingPairs>
  <TitlesOfParts>
    <vt:vector size="28" baseType="lpstr">
      <vt:lpstr>Begin</vt:lpstr>
      <vt:lpstr>InputSheet</vt:lpstr>
      <vt:lpstr>Statistics</vt:lpstr>
      <vt:lpstr>Report</vt:lpstr>
      <vt:lpstr>ReadMe</vt:lpstr>
      <vt:lpstr>actReg</vt:lpstr>
      <vt:lpstr>actRegCode</vt:lpstr>
      <vt:lpstr>actRegValue</vt:lpstr>
      <vt:lpstr>class0</vt:lpstr>
      <vt:lpstr>class1</vt:lpstr>
      <vt:lpstr>class2</vt:lpstr>
      <vt:lpstr>class3</vt:lpstr>
      <vt:lpstr>class4</vt:lpstr>
      <vt:lpstr>class5</vt:lpstr>
      <vt:lpstr>classValues</vt:lpstr>
      <vt:lpstr>Delay_between_Passes</vt:lpstr>
      <vt:lpstr>fc_api_key</vt:lpstr>
      <vt:lpstr>fckey</vt:lpstr>
      <vt:lpstr>locationCount</vt:lpstr>
      <vt:lpstr>merge</vt:lpstr>
      <vt:lpstr>Number_of_Seeding_Passes</vt:lpstr>
      <vt:lpstr>old</vt:lpstr>
      <vt:lpstr>Statistics!Print_Area</vt:lpstr>
      <vt:lpstr>regData</vt:lpstr>
      <vt:lpstr>tokenconcat</vt:lpstr>
      <vt:lpstr>toptokenconcat</vt:lpstr>
      <vt:lpstr>toptokencounts</vt:lpstr>
      <vt:lpstr>toptokens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Travis Todd</dc:creator>
  <cp:lastModifiedBy>Travis</cp:lastModifiedBy>
  <cp:lastPrinted>2012-01-25T01:07:38Z</cp:lastPrinted>
  <dcterms:created xsi:type="dcterms:W3CDTF">2011-11-06T04:09:30Z</dcterms:created>
  <dcterms:modified xsi:type="dcterms:W3CDTF">2012-02-02T18:30:48Z</dcterms:modified>
</cp:coreProperties>
</file>