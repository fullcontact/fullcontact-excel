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F38" i="6" l="1"/>
  <c r="D38" i="6"/>
  <c r="B38" i="6"/>
  <c r="E35" i="3"/>
  <c r="D35" i="3"/>
  <c r="D16" i="3" l="1"/>
  <c r="C142" i="3" l="1"/>
  <c r="C141" i="3"/>
  <c r="C140" i="3"/>
  <c r="C139" i="3"/>
  <c r="C138" i="3"/>
  <c r="C126" i="3" l="1"/>
  <c r="C124" i="3" l="1"/>
  <c r="C123" i="3"/>
  <c r="C128" i="3"/>
  <c r="C127" i="3"/>
  <c r="C125" i="3"/>
  <c r="C122" i="3"/>
  <c r="C121" i="3"/>
  <c r="C120" i="3"/>
  <c r="C119" i="3"/>
  <c r="C118" i="3"/>
  <c r="C117" i="3"/>
  <c r="C116" i="3"/>
  <c r="C129" i="3" l="1"/>
  <c r="B18" i="6"/>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9" i="6"/>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32"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O143" i="6"/>
  <c r="E8" i="3"/>
  <c r="E31" i="3"/>
  <c r="F34" i="6" s="1"/>
  <c r="E32" i="3"/>
  <c r="F35" i="6" s="1"/>
  <c r="E16" i="3"/>
  <c r="F19" i="6" s="1"/>
  <c r="E50" i="3"/>
  <c r="E53" i="3" s="1"/>
  <c r="O138" i="6"/>
  <c r="E52" i="3"/>
  <c r="E8" i="6"/>
  <c r="F8" i="6" s="1"/>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E56" i="3"/>
  <c r="D41" i="3"/>
  <c r="F7" i="6"/>
  <c r="F9" i="6"/>
  <c r="E55" i="3"/>
  <c r="E54" i="3" l="1"/>
  <c r="O142" i="6"/>
  <c r="E57" i="3"/>
  <c r="O141" i="6"/>
  <c r="O140" i="6"/>
  <c r="D133" i="3"/>
  <c r="O139" i="6"/>
</calcChain>
</file>

<file path=xl/sharedStrings.xml><?xml version="1.0" encoding="utf-8"?>
<sst xmlns="http://schemas.openxmlformats.org/spreadsheetml/2006/main" count="213" uniqueCount="190">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</sst>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22" fillId="0" borderId="0" xfId="0" applyFont="1" applyAlignment="1">
      <alignment vertical="center" wrapText="1"/>
    </xf>
    <xf numFmtId="0" fontId="0" fillId="8" borderId="0" xfId="0" applyFill="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41445248"/>
        <c:axId val="41446784"/>
      </c:barChart>
      <c:catAx>
        <c:axId val="41445248"/>
        <c:scaling>
          <c:orientation val="minMax"/>
        </c:scaling>
        <c:delete val="0"/>
        <c:axPos val="l"/>
        <c:majorTickMark val="out"/>
        <c:minorTickMark val="none"/>
        <c:tickLblPos val="nextTo"/>
        <c:crossAx val="41446784"/>
        <c:crosses val="autoZero"/>
        <c:auto val="1"/>
        <c:lblAlgn val="ctr"/>
        <c:lblOffset val="100"/>
        <c:tickLblSkip val="1"/>
        <c:noMultiLvlLbl val="0"/>
      </c:catAx>
      <c:valAx>
        <c:axId val="41446784"/>
        <c:scaling>
          <c:orientation val="minMax"/>
          <c:max val="1"/>
        </c:scaling>
        <c:delete val="0"/>
        <c:axPos val="b"/>
        <c:majorGridlines/>
        <c:numFmt formatCode="0%" sourceLinked="0"/>
        <c:majorTickMark val="out"/>
        <c:minorTickMark val="none"/>
        <c:tickLblPos val="nextTo"/>
        <c:crossAx val="41445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02168448"/>
        <c:axId val="102169984"/>
      </c:barChart>
      <c:catAx>
        <c:axId val="102168448"/>
        <c:scaling>
          <c:orientation val="minMax"/>
        </c:scaling>
        <c:delete val="0"/>
        <c:axPos val="b"/>
        <c:majorTickMark val="out"/>
        <c:minorTickMark val="none"/>
        <c:tickLblPos val="nextTo"/>
        <c:crossAx val="102169984"/>
        <c:crosses val="autoZero"/>
        <c:auto val="1"/>
        <c:lblAlgn val="ctr"/>
        <c:lblOffset val="100"/>
        <c:noMultiLvlLbl val="0"/>
      </c:catAx>
      <c:valAx>
        <c:axId val="102169984"/>
        <c:scaling>
          <c:orientation val="minMax"/>
        </c:scaling>
        <c:delete val="0"/>
        <c:axPos val="l"/>
        <c:majorGridlines/>
        <c:numFmt formatCode="0.0%" sourceLinked="1"/>
        <c:majorTickMark val="out"/>
        <c:minorTickMark val="none"/>
        <c:tickLblPos val="nextTo"/>
        <c:crossAx val="10216844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2"/>
      <c r="I13" s="63"/>
      <c r="J13" s="64"/>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topLeftCell="Q1" workbookViewId="0">
      <selection activeCell="S8" sqref="S8"/>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174</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189</v>
      </c>
      <c r="T1" s="2" t="s">
        <v>137</v>
      </c>
      <c r="U1" s="2" t="s">
        <v>9</v>
      </c>
      <c r="V1" s="2" t="s">
        <v>10</v>
      </c>
      <c r="W1" s="2" t="s">
        <v>139</v>
      </c>
      <c r="X1" s="2" t="s">
        <v>163</v>
      </c>
      <c r="Y1" s="2" t="s">
        <v>140</v>
      </c>
      <c r="Z1" s="2" t="s">
        <v>173</v>
      </c>
      <c r="AA1" s="2" t="s">
        <v>141</v>
      </c>
      <c r="AB1" s="2" t="s">
        <v>142</v>
      </c>
      <c r="AC1" s="2" t="s">
        <v>143</v>
      </c>
      <c r="AD1" s="2" t="s">
        <v>144</v>
      </c>
      <c r="AE1" s="2" t="s">
        <v>145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election activeCell="I21" sqref="I21"/>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0</v>
      </c>
      <c r="G9" s="4" t="s">
        <v>169</v>
      </c>
    </row>
    <row r="10" spans="3:11" x14ac:dyDescent="0.2">
      <c r="C10" s="5" t="s">
        <v>42</v>
      </c>
      <c r="D10">
        <v>4</v>
      </c>
      <c r="E10" s="8">
        <f>D10/D5</f>
        <v>1.3333333333333333</v>
      </c>
      <c r="G10" s="59">
        <v>120</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5"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173</v>
      </c>
      <c r="D16">
        <f>IF($D$2=1,COUNTA(InputSheet!Z:Z)-1,"")</f>
        <v>0</v>
      </c>
      <c r="E16" s="7" t="e">
        <f t="shared" si="0"/>
        <v>#DIV/0!</v>
      </c>
    </row>
    <row r="17" spans="3:5" x14ac:dyDescent="0.2">
      <c r="C17" s="6" t="s">
        <v>163</v>
      </c>
      <c r="D17">
        <f>IF($D$2=1,COUNTA(InputSheet!S:S)-1,"")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5" spans="3:5" x14ac:dyDescent="0.2">
      <c r="C35" s="6" t="s">
        <v>189</v>
      </c>
      <c r="D35">
        <f>IF($D$2=1,COUNTA(InputSheet!S:S)-1,"")</f>
        <v>0</v>
      </c>
      <c r="E35"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175</v>
      </c>
      <c r="C116">
        <f>COUNTIF(InputSheet!H:H,"*Yukon*")</f>
        <v>0</v>
      </c>
    </row>
    <row r="117" spans="2:3" x14ac:dyDescent="0.2">
      <c r="B117" s="4" t="s">
        <v>176</v>
      </c>
      <c r="C117">
        <f>COUNTIF(InputSheet!H:H,"*Northwest Territories*")</f>
        <v>0</v>
      </c>
    </row>
    <row r="118" spans="2:3" x14ac:dyDescent="0.2">
      <c r="B118" s="4" t="s">
        <v>177</v>
      </c>
      <c r="C118">
        <f>COUNTIF(InputSheet!H:H,"*Nunavut*")</f>
        <v>0</v>
      </c>
    </row>
    <row r="119" spans="2:3" x14ac:dyDescent="0.2">
      <c r="B119" s="4" t="s">
        <v>178</v>
      </c>
      <c r="C119">
        <f>COUNTIF(InputSheet!H:H,"*British Columbia*")</f>
        <v>0</v>
      </c>
    </row>
    <row r="120" spans="2:3" x14ac:dyDescent="0.2">
      <c r="B120" s="4" t="s">
        <v>179</v>
      </c>
      <c r="C120">
        <f>COUNTIF(InputSheet!H:H,"*Alberta*")</f>
        <v>0</v>
      </c>
    </row>
    <row r="121" spans="2:3" x14ac:dyDescent="0.2">
      <c r="B121" s="4" t="s">
        <v>180</v>
      </c>
      <c r="C121">
        <f>COUNTIF(InputSheet!H:H,"*Saskatchewan*")</f>
        <v>0</v>
      </c>
    </row>
    <row r="122" spans="2:3" x14ac:dyDescent="0.2">
      <c r="B122" s="4" t="s">
        <v>181</v>
      </c>
      <c r="C122">
        <f>COUNTIF(InputSheet!H:H,"*Manitoba*")</f>
        <v>0</v>
      </c>
    </row>
    <row r="123" spans="2:3" x14ac:dyDescent="0.2">
      <c r="B123" s="4" t="s">
        <v>182</v>
      </c>
      <c r="C123">
        <f>COUNTIF(InputSheet!H:H,"*, Ontario*")</f>
        <v>0</v>
      </c>
    </row>
    <row r="124" spans="2:3" x14ac:dyDescent="0.2">
      <c r="B124" s="4" t="s">
        <v>183</v>
      </c>
      <c r="C124">
        <f>COUNTIF(InputSheet!H:H,"*, Quebec*")</f>
        <v>0</v>
      </c>
    </row>
    <row r="125" spans="2:3" x14ac:dyDescent="0.2">
      <c r="B125" s="4" t="s">
        <v>184</v>
      </c>
      <c r="C125">
        <f>COUNTIF(InputSheet!H:H,"*Newfoundland and Labrador*")</f>
        <v>0</v>
      </c>
    </row>
    <row r="126" spans="2:3" x14ac:dyDescent="0.2">
      <c r="B126" s="4" t="s">
        <v>185</v>
      </c>
      <c r="C126">
        <f>COUNTIF(InputSheet!H:H,"*Prince Edward Island*")</f>
        <v>0</v>
      </c>
    </row>
    <row r="127" spans="2:3" x14ac:dyDescent="0.2">
      <c r="B127" s="4" t="s">
        <v>186</v>
      </c>
      <c r="C127">
        <f>COUNTIF(InputSheet!H:H,"*New Brunswick*")</f>
        <v>0</v>
      </c>
    </row>
    <row r="128" spans="2:3" x14ac:dyDescent="0.2">
      <c r="B128" s="4" t="s">
        <v>187</v>
      </c>
      <c r="C128">
        <f>COUNTIF(InputSheet!H:H,"*Nova Scotia*")</f>
        <v>0</v>
      </c>
    </row>
    <row r="129" spans="2:11" x14ac:dyDescent="0.2">
      <c r="B129" s="2" t="s">
        <v>46</v>
      </c>
      <c r="C129" s="2">
        <f>SUM(C65:C128)</f>
        <v>0</v>
      </c>
    </row>
    <row r="130" spans="2:11" ht="18" x14ac:dyDescent="0.25">
      <c r="K130" s="15"/>
    </row>
    <row r="131" spans="2:11" x14ac:dyDescent="0.2">
      <c r="C131" s="4" t="s">
        <v>128</v>
      </c>
      <c r="D131" s="4" t="s">
        <v>134</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8" t="s">
        <v>155</v>
      </c>
    </row>
    <row r="153" spans="3:3" ht="23.25" x14ac:dyDescent="0.35">
      <c r="C153" s="34"/>
    </row>
    <row r="154" spans="3:3" ht="27" x14ac:dyDescent="0.35">
      <c r="C154" s="52"/>
    </row>
    <row r="155" spans="3:3" ht="33" x14ac:dyDescent="0.45">
      <c r="C155" s="49"/>
    </row>
    <row r="156" spans="3:3" ht="27" x14ac:dyDescent="0.35">
      <c r="C156" s="51"/>
    </row>
    <row r="157" spans="3:3" ht="33" x14ac:dyDescent="0.45">
      <c r="C157" s="48"/>
    </row>
    <row r="158" spans="3:3" ht="27" x14ac:dyDescent="0.35">
      <c r="C158" s="50"/>
    </row>
    <row r="159" spans="3:3" ht="33" x14ac:dyDescent="0.45">
      <c r="C159" s="47"/>
    </row>
    <row r="160" spans="3:3" ht="23.25" x14ac:dyDescent="0.35">
      <c r="C160" s="33"/>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23.25" x14ac:dyDescent="0.35">
      <c r="C176" s="33"/>
    </row>
    <row r="177" spans="3:11" ht="23.25" x14ac:dyDescent="0.35">
      <c r="C177" s="34"/>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85" zoomScaleNormal="85" workbookViewId="0">
      <selection activeCell="K35" sqref="K35"/>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3</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162</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154</v>
      </c>
    </row>
    <row r="137" spans="15:16" x14ac:dyDescent="0.2">
      <c r="O137" s="65" t="s">
        <v>125</v>
      </c>
      <c r="P137" s="65"/>
    </row>
    <row r="138" spans="15:16" x14ac:dyDescent="0.2">
      <c r="O138" s="27" t="str">
        <f>CONCATENATE(Statistics!C137,"-",Statistics!C138-1)</f>
        <v>0--1</v>
      </c>
      <c r="P138" s="61"/>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188</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2012-06-12T17:36:35Z</dcterms:modified>
</cp:coreProperties>
</file>