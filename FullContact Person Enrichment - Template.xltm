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D7" i="3" l="1"/>
  <c r="D13" i="3" l="1"/>
  <c r="D15" i="3"/>
  <c r="D22" i="3"/>
  <c r="D25" i="3"/>
  <c r="D23" i="3"/>
  <c r="D33" i="3"/>
  <c r="D29" i="3"/>
  <c r="D14" i="3"/>
  <c r="D17" i="3"/>
  <c r="D26" i="3"/>
  <c r="D16" i="3"/>
  <c r="D30" i="3"/>
  <c r="D18" i="3"/>
  <c r="D24" i="3"/>
  <c r="D21" i="3"/>
  <c r="D28" i="3"/>
  <c r="D20" i="3"/>
  <c r="D19" i="3"/>
  <c r="D32" i="3"/>
  <c r="D34" i="3"/>
  <c r="D31" i="3"/>
  <c r="D27" i="3"/>
  <c r="B35" i="6"/>
  <c r="B36" i="6"/>
  <c r="B32" i="6"/>
  <c r="B33" i="6"/>
  <c r="B34" i="6"/>
  <c r="E6" i="6"/>
  <c r="B17" i="6"/>
  <c r="B18" i="6"/>
  <c r="B19" i="6"/>
  <c r="B20" i="6"/>
  <c r="B21" i="6"/>
  <c r="B22" i="6"/>
  <c r="B23" i="6"/>
  <c r="B24" i="6"/>
  <c r="B25" i="6"/>
  <c r="B26" i="6"/>
  <c r="B27" i="6"/>
  <c r="B28" i="6"/>
  <c r="B29" i="6"/>
  <c r="B30" i="6"/>
  <c r="B31" i="6"/>
  <c r="B16" i="6"/>
  <c r="D36" i="6" l="1"/>
  <c r="D27" i="6"/>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4" i="6"/>
  <c r="D8" i="3"/>
  <c r="E9" i="6" s="1"/>
  <c r="F9" i="6" s="1"/>
  <c r="E8" i="6"/>
  <c r="F8" i="6" s="1"/>
  <c r="D4" i="3"/>
  <c r="D3" i="3"/>
  <c r="E7" i="6" l="1"/>
  <c r="F7" i="6" s="1"/>
  <c r="E14" i="3"/>
  <c r="E15" i="3"/>
  <c r="E16" i="3"/>
  <c r="E17" i="3"/>
  <c r="E13" i="3"/>
  <c r="E27" i="3"/>
  <c r="E19" i="3"/>
  <c r="E24" i="3"/>
  <c r="E26" i="3"/>
  <c r="E25" i="3"/>
  <c r="E32" i="3"/>
  <c r="E21" i="3"/>
  <c r="E29" i="3"/>
  <c r="E22" i="3"/>
  <c r="E34" i="3"/>
  <c r="E28" i="3"/>
  <c r="E30" i="3"/>
  <c r="E33" i="3"/>
  <c r="E31" i="3"/>
  <c r="E20" i="3"/>
  <c r="E18" i="3"/>
  <c r="E23" i="3"/>
  <c r="D16" i="6"/>
  <c r="D28" i="6"/>
  <c r="C116" i="3"/>
  <c r="C125" i="3"/>
  <c r="C127" i="3"/>
  <c r="C129" i="3"/>
  <c r="C126" i="3"/>
  <c r="C128" i="3"/>
  <c r="E10" i="3"/>
  <c r="O112" i="6" l="1"/>
  <c r="O110" i="6"/>
  <c r="O113" i="6"/>
  <c r="O109" i="6"/>
  <c r="O108" i="6"/>
  <c r="O111" i="6"/>
  <c r="D120" i="3"/>
  <c r="E8" i="3" l="1"/>
  <c r="D1" i="3" l="1"/>
  <c r="D26" i="6" l="1"/>
  <c r="B2" i="6"/>
  <c r="E41" i="3"/>
  <c r="E50" i="3"/>
  <c r="E52" i="3" s="1"/>
  <c r="D41" i="3"/>
  <c r="D25" i="6" l="1"/>
  <c r="E54" i="3"/>
  <c r="E53" i="3"/>
  <c r="E57" i="3"/>
  <c r="E56" i="3"/>
  <c r="E55" i="3"/>
  <c r="D35" i="6" l="1"/>
  <c r="D22" i="6"/>
  <c r="D18" i="6"/>
  <c r="D17" i="6"/>
  <c r="D33" i="6"/>
  <c r="E3" i="3"/>
  <c r="E7" i="3"/>
  <c r="D34" i="6" l="1"/>
  <c r="D23" i="6"/>
  <c r="D21" i="6"/>
  <c r="D32" i="6"/>
  <c r="D29" i="6"/>
  <c r="D19" i="6"/>
  <c r="D30" i="6"/>
  <c r="D20" i="6"/>
  <c r="D31" i="6"/>
  <c r="F36" i="6"/>
  <c r="F27" i="6"/>
  <c r="F26" i="6" l="1"/>
  <c r="F29" i="6"/>
  <c r="F35" i="6"/>
  <c r="F32" i="6"/>
  <c r="F34" i="6"/>
  <c r="F33" i="6"/>
  <c r="F31" i="6"/>
  <c r="F28" i="6"/>
  <c r="F25" i="6"/>
  <c r="F20" i="6"/>
  <c r="F22" i="6"/>
  <c r="F17" i="6"/>
  <c r="F23" i="6"/>
  <c r="F24" i="6"/>
  <c r="F18" i="6"/>
  <c r="F30" i="6"/>
  <c r="F19" i="6"/>
  <c r="F21" i="6"/>
  <c r="F16" i="6"/>
</calcChain>
</file>

<file path=xl/sharedStrings.xml><?xml version="1.0" encoding="utf-8"?>
<sst xmlns="http://schemas.openxmlformats.org/spreadsheetml/2006/main" count="201" uniqueCount="177">
  <si>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</si>
  <si>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</si>
  <si>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</si>
  <si>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</si>
  <si>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</si>
  <si>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</si>
  <si>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</si>
  <si>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</si>
  <si>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</si>
  <si>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</si>
  <si>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</si>
  <si>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</si>
  <si>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</si>
  <si>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</si>
  <si>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</si>
  <si>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</si>
  <si>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</si>
  <si>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</si>
  <si>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</si>
  <si>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</si>
  <si>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</si>
  <si>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</si>
  <si>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</si>
  <si>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</si>
  <si>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</si>
  <si>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</si>
  <si>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</si>
  <si>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</si>
  <si>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</si>
  <si>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</si>
  <si>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</si>
  <si>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</si>
  <si>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</si>
  <si>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</si>
  <si>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</si>
  <si>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</si>
  <si>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</si>
  <si>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</si>
  <si>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</si>
  <si>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</si>
  <si>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</si>
  <si>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</si>
  <si>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</si>
  <si>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</si>
  <si>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</si>
  <si>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</si>
  <si>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</si>
  <si>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</si>
  <si>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</si>
  <si>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</si>
  <si>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</si>
  <si>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Total Email Addresses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</si>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</sst>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xf numFmtId="0" fontId="40" fillId="0" borderId="0" xfId="0" applyFont="1" applyAlignment="1">
      <alignment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Has Bio</c:v>
                </c:pt>
                <c:pt idx="9">
                  <c:v>Has Followers</c:v>
                </c:pt>
                <c:pt idx="10">
                  <c:v>Facebook</c:v>
                </c:pt>
                <c:pt idx="11">
                  <c:v>Is Following</c:v>
                </c:pt>
                <c:pt idx="12">
                  <c:v>Flickr</c:v>
                </c:pt>
                <c:pt idx="13">
                  <c:v>Name</c:v>
                </c:pt>
                <c:pt idx="14">
                  <c:v>Photo Present</c:v>
                </c:pt>
                <c:pt idx="15">
                  <c:v>Other Url</c:v>
                </c:pt>
                <c:pt idx="16">
                  <c:v>MySpace</c:v>
                </c:pt>
                <c:pt idx="17">
                  <c:v>Age</c:v>
                </c:pt>
                <c:pt idx="18">
                  <c:v>General Location</c:v>
                </c:pt>
                <c:pt idx="19">
                  <c:v>Url Present</c:v>
                </c:pt>
                <c:pt idx="20">
                  <c:v>Gender</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13019136"/>
        <c:axId val="113037312"/>
      </c:barChart>
      <c:catAx>
        <c:axId val="113019136"/>
        <c:scaling>
          <c:orientation val="minMax"/>
        </c:scaling>
        <c:delete val="0"/>
        <c:axPos val="l"/>
        <c:majorTickMark val="out"/>
        <c:minorTickMark val="none"/>
        <c:tickLblPos val="nextTo"/>
        <c:crossAx val="113037312"/>
        <c:crosses val="autoZero"/>
        <c:auto val="1"/>
        <c:lblAlgn val="ctr"/>
        <c:lblOffset val="100"/>
        <c:tickLblSkip val="1"/>
        <c:noMultiLvlLbl val="0"/>
      </c:catAx>
      <c:valAx>
        <c:axId val="113037312"/>
        <c:scaling>
          <c:orientation val="minMax"/>
          <c:max val="1"/>
        </c:scaling>
        <c:delete val="0"/>
        <c:axPos val="b"/>
        <c:majorGridlines/>
        <c:numFmt formatCode="0%" sourceLinked="0"/>
        <c:majorTickMark val="out"/>
        <c:minorTickMark val="none"/>
        <c:tickLblPos val="nextTo"/>
        <c:crossAx val="11301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25037184"/>
        <c:axId val="125436288"/>
      </c:barChart>
      <c:catAx>
        <c:axId val="125037184"/>
        <c:scaling>
          <c:orientation val="minMax"/>
        </c:scaling>
        <c:delete val="0"/>
        <c:axPos val="b"/>
        <c:majorTickMark val="out"/>
        <c:minorTickMark val="none"/>
        <c:tickLblPos val="nextTo"/>
        <c:crossAx val="125436288"/>
        <c:crosses val="autoZero"/>
        <c:auto val="1"/>
        <c:lblAlgn val="ctr"/>
        <c:lblOffset val="100"/>
        <c:noMultiLvlLbl val="0"/>
      </c:catAx>
      <c:valAx>
        <c:axId val="125436288"/>
        <c:scaling>
          <c:orientation val="minMax"/>
        </c:scaling>
        <c:delete val="0"/>
        <c:axPos val="l"/>
        <c:majorGridlines/>
        <c:numFmt formatCode="0.0%" sourceLinked="1"/>
        <c:majorTickMark val="out"/>
        <c:minorTickMark val="none"/>
        <c:tickLblPos val="nextTo"/>
        <c:crossAx val="12503718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136</v>
      </c>
      <c r="D3" s="4" t="s">
        <v>137</v>
      </c>
    </row>
    <row r="4" spans="3:10" x14ac:dyDescent="0.2">
      <c r="C4" t="s">
        <v>0</v>
      </c>
      <c r="D4" s="4" t="s">
        <v>170</v>
      </c>
    </row>
    <row r="5" spans="3:10" x14ac:dyDescent="0.2">
      <c r="C5" t="s">
        <v>1</v>
      </c>
      <c r="D5" t="s">
        <v>11</v>
      </c>
    </row>
    <row r="6" spans="3:10" x14ac:dyDescent="0.2">
      <c r="C6" t="s">
        <v>2</v>
      </c>
      <c r="D6" s="4" t="s">
        <v>166</v>
      </c>
    </row>
    <row r="7" spans="3:10" x14ac:dyDescent="0.2">
      <c r="C7" t="s">
        <v>12</v>
      </c>
      <c r="D7" t="s">
        <v>167</v>
      </c>
    </row>
    <row r="8" spans="3:10" x14ac:dyDescent="0.2">
      <c r="C8" t="s">
        <v>14</v>
      </c>
      <c r="D8" s="4" t="s">
        <v>61</v>
      </c>
    </row>
    <row r="9" spans="3:10" x14ac:dyDescent="0.2">
      <c r="C9" s="4" t="s">
        <v>56</v>
      </c>
      <c r="D9" t="s">
        <v>13</v>
      </c>
    </row>
    <row r="10" spans="3:10" x14ac:dyDescent="0.2">
      <c r="C10" s="4" t="s">
        <v>168</v>
      </c>
      <c r="D10" s="4" t="s">
        <v>57</v>
      </c>
    </row>
    <row r="11" spans="3:10" x14ac:dyDescent="0.2">
      <c r="C11" s="4" t="s">
        <v>169</v>
      </c>
      <c r="D11" s="4" t="s">
        <v>135</v>
      </c>
    </row>
    <row r="14" spans="3:10" ht="18" x14ac:dyDescent="0.25">
      <c r="G14" s="1" t="s">
        <v>16</v>
      </c>
      <c r="H14" s="59"/>
      <c r="I14" s="60"/>
      <c r="J14" s="61"/>
    </row>
    <row r="15" spans="3:10" ht="18" x14ac:dyDescent="0.25">
      <c r="G15" s="1"/>
      <c r="H15" s="18"/>
      <c r="I15" s="18"/>
      <c r="J15" s="18"/>
    </row>
    <row r="16" spans="3:10" ht="18" x14ac:dyDescent="0.25">
      <c r="G16" s="1" t="s">
        <v>59</v>
      </c>
      <c r="H16" s="20">
        <v>3</v>
      </c>
      <c r="I16" s="19"/>
      <c r="J16" s="18"/>
    </row>
    <row r="17" spans="7:11" ht="18" x14ac:dyDescent="0.25">
      <c r="G17" s="1"/>
      <c r="H17" s="18"/>
      <c r="I17" s="19"/>
      <c r="J17" s="18"/>
    </row>
    <row r="18" spans="7:11" ht="18" x14ac:dyDescent="0.25">
      <c r="G18" s="1" t="s">
        <v>60</v>
      </c>
      <c r="H18" s="20">
        <v>2</v>
      </c>
      <c r="I18" s="18"/>
      <c r="J18" s="18"/>
    </row>
    <row r="20" spans="7:11" ht="18" x14ac:dyDescent="0.25">
      <c r="G20" s="1" t="s">
        <v>163</v>
      </c>
      <c r="K20" s="4" t="s">
        <v>164</v>
      </c>
    </row>
    <row r="22" spans="7:11" x14ac:dyDescent="0.2">
      <c r="K22" s="4" t="s">
        <v>165</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9" r:id="rId4" name="OptionButton1">
          <controlPr defaultSize="0" autoLine="0" r:id="rId5">
            <anchor moveWithCells="1">
              <from>
                <xdr:col>7</xdr:col>
                <xdr:colOff>142875</xdr:colOff>
                <xdr:row>18</xdr:row>
                <xdr:rowOff>142875</xdr:rowOff>
              </from>
              <to>
                <xdr:col>9</xdr:col>
                <xdr:colOff>552450</xdr:colOff>
                <xdr:row>20</xdr:row>
                <xdr:rowOff>133350</xdr:rowOff>
              </to>
            </anchor>
          </controlPr>
        </control>
      </mc:Choice>
      <mc:Fallback>
        <control shapeId="1029" r:id="rId4" name="OptionButton1"/>
      </mc:Fallback>
    </mc:AlternateContent>
    <mc:AlternateContent xmlns:mc="http://schemas.openxmlformats.org/markup-compatibility/2006">
      <mc:Choice Requires="x14">
        <control shapeId="1030" r:id="rId6" name="OptionButton2">
          <controlPr defaultSize="0" autoLine="0" r:id="rId7">
            <anchor moveWithCells="1">
              <from>
                <xdr:col>7</xdr:col>
                <xdr:colOff>142875</xdr:colOff>
                <xdr:row>20</xdr:row>
                <xdr:rowOff>66675</xdr:rowOff>
              </from>
              <to>
                <xdr:col>9</xdr:col>
                <xdr:colOff>581025</xdr:colOff>
                <xdr:row>22</xdr:row>
                <xdr:rowOff>152400</xdr:rowOff>
              </to>
            </anchor>
          </controlPr>
        </control>
      </mc:Choice>
      <mc:Fallback>
        <control shapeId="1030" r:id="rId6" name="OptionButton2"/>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140</v>
      </c>
      <c r="R1" s="2" t="s">
        <v>141</v>
      </c>
      <c r="S1" s="2" t="s">
        <v>172</v>
      </c>
      <c r="T1" s="2" t="s">
        <v>142</v>
      </c>
      <c r="U1" s="2" t="s">
        <v>9</v>
      </c>
      <c r="V1" s="2" t="s">
        <v>10</v>
      </c>
      <c r="W1" s="2" t="s">
        <v>144</v>
      </c>
      <c r="X1" s="2" t="s">
        <v>172</v>
      </c>
      <c r="Y1" s="2" t="s">
        <v>145</v>
      </c>
      <c r="Z1" s="2" t="s">
        <v>172</v>
      </c>
      <c r="AA1" s="2" t="s">
        <v>146</v>
      </c>
      <c r="AB1" s="2" t="s">
        <v>147</v>
      </c>
      <c r="AC1" s="2" t="s">
        <v>148</v>
      </c>
      <c r="AD1" s="2" t="s">
        <v>149</v>
      </c>
      <c r="AE1" s="2" t="s">
        <v>150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topLeftCell="A121" zoomScale="85" zoomScaleNormal="85" workbookViewId="0">
      <selection activeCell="C140" sqref="C140:D164"/>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58</v>
      </c>
      <c r="D2">
        <v>1</v>
      </c>
      <c r="E2" s="4"/>
      <c r="J2" s="4" t="s">
        <v>161</v>
      </c>
      <c r="K2">
        <v>1</v>
      </c>
    </row>
    <row r="3" spans="3:11" x14ac:dyDescent="0.2">
      <c r="C3" s="3" t="s">
        <v>26</v>
      </c>
      <c r="D3">
        <f>COUNTIF(InputSheet!B:B,"200")</f>
        <v>0</v>
      </c>
      <c r="E3" s="7">
        <f>D3/D5</f>
        <v>0</v>
      </c>
      <c r="J3" s="4" t="s">
        <v>162</v>
      </c>
      <c r="K3">
        <v>0</v>
      </c>
    </row>
    <row r="4" spans="3:11" x14ac:dyDescent="0.2">
      <c r="C4" s="3" t="s">
        <v>27</v>
      </c>
      <c r="D4">
        <f>COUNTBLANK(InputSheet!A:A)</f>
        <v>1048575</v>
      </c>
    </row>
    <row r="5" spans="3:11" x14ac:dyDescent="0.2">
      <c r="C5" s="3" t="s">
        <v>28</v>
      </c>
      <c r="D5">
        <v>3</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4</v>
      </c>
    </row>
    <row r="10" spans="3:11" x14ac:dyDescent="0.2">
      <c r="C10" s="5" t="s">
        <v>43</v>
      </c>
      <c r="D10">
        <v>4</v>
      </c>
      <c r="E10" s="8">
        <f>D10/D5</f>
        <v>1.3333333333333333</v>
      </c>
    </row>
    <row r="12" spans="3:11" x14ac:dyDescent="0.2">
      <c r="C12" s="29" t="s">
        <v>156</v>
      </c>
      <c r="E12" s="30" t="s">
        <v>157</v>
      </c>
    </row>
    <row r="13" spans="3:11" x14ac:dyDescent="0.2">
      <c r="C13" s="6" t="s">
        <v>155</v>
      </c>
      <c r="D13">
        <f>IF($D$2=1,COUNTA(InputSheet!AE:AE)-1,"")</f>
        <v>0</v>
      </c>
      <c r="E13" s="7" t="e">
        <f>D13/$D$3</f>
        <v>#DIV/0!</v>
      </c>
    </row>
    <row r="14" spans="3:11" x14ac:dyDescent="0.2">
      <c r="C14" s="6" t="s">
        <v>143</v>
      </c>
      <c r="D14">
        <f>IF($D$2=1,COUNTA(InputSheet!T:T)-1,"")</f>
        <v>0</v>
      </c>
      <c r="E14" s="7" t="e">
        <f>D14/$D$3</f>
        <v>#DIV/0!</v>
      </c>
    </row>
    <row r="15" spans="3:11" x14ac:dyDescent="0.2">
      <c r="C15" s="6" t="s">
        <v>154</v>
      </c>
      <c r="D15">
        <f>IF($D$2=1,COUNTA(InputSheet!AD:AD)-1,"")</f>
        <v>0</v>
      </c>
      <c r="E15" s="7" t="e">
        <f>D15/$D$3</f>
        <v>#DIV/0!</v>
      </c>
    </row>
    <row r="16" spans="3:11" x14ac:dyDescent="0.2">
      <c r="C16" s="6" t="s">
        <v>140</v>
      </c>
      <c r="D16">
        <f>IF($D$2=1,COUNTA(InputSheet!Q:Q)-1,"")</f>
        <v>0</v>
      </c>
      <c r="E16" s="7" t="e">
        <f>D16/$D$3</f>
        <v>#DIV/0!</v>
      </c>
    </row>
    <row r="17" spans="3:5" x14ac:dyDescent="0.2">
      <c r="C17" s="6" t="s">
        <v>172</v>
      </c>
      <c r="D17">
        <f>IF($D$2=1,COUNTA(InputSheet!S:S)-1,"")</f>
        <v>0</v>
      </c>
      <c r="E17" s="7" t="e">
        <f>D17/$D$3</f>
        <v>#DIV/0!</v>
      </c>
    </row>
    <row r="18" spans="3:5" x14ac:dyDescent="0.2">
      <c r="C18" s="6" t="s">
        <v>6</v>
      </c>
      <c r="D18">
        <f>IF($D$2=1,COUNTA(InputSheet!O:O)-1,"")</f>
        <v>0</v>
      </c>
      <c r="E18" s="7" t="e">
        <f>D18/$D$3</f>
        <v>#DIV/0!</v>
      </c>
    </row>
    <row r="19" spans="3:5" x14ac:dyDescent="0.2">
      <c r="C19" s="6" t="s">
        <v>24</v>
      </c>
      <c r="D19">
        <f>IF($D$2=1,COUNTA(InputSheet!I:I)-1,"")</f>
        <v>0</v>
      </c>
      <c r="E19" s="7" t="e">
        <f>D19/$D$3</f>
        <v>#DIV/0!</v>
      </c>
    </row>
    <row r="20" spans="3:5" x14ac:dyDescent="0.2">
      <c r="C20" s="6" t="s">
        <v>25</v>
      </c>
      <c r="D20">
        <f>IF($D$2=1,COUNTA(InputSheet!J:J)-1,"")</f>
        <v>0</v>
      </c>
      <c r="E20" s="7" t="e">
        <f>D20/$D$3</f>
        <v>#DIV/0!</v>
      </c>
    </row>
    <row r="21" spans="3:5" x14ac:dyDescent="0.2">
      <c r="C21" s="6" t="s">
        <v>5</v>
      </c>
      <c r="D21">
        <f>IF($D$2=1,COUNTA(InputSheet!M:M)-1,"")</f>
        <v>0</v>
      </c>
      <c r="E21" s="7" t="e">
        <f>D21/$D$3</f>
        <v>#DIV/0!</v>
      </c>
    </row>
    <row r="22" spans="3:5" x14ac:dyDescent="0.2">
      <c r="C22" s="6" t="s">
        <v>153</v>
      </c>
      <c r="D22">
        <f>IF($D$2=1,COUNTA(InputSheet!AC:AC)-1,"")</f>
        <v>0</v>
      </c>
      <c r="E22" s="7" t="e">
        <f>D22/$D$3</f>
        <v>#DIV/0!</v>
      </c>
    </row>
    <row r="23" spans="3:5" x14ac:dyDescent="0.2">
      <c r="C23" s="6" t="s">
        <v>151</v>
      </c>
      <c r="D23">
        <f>IF($D$2=1,COUNTA(InputSheet!AA:AA)-1,"")</f>
        <v>0</v>
      </c>
      <c r="E23" s="7" t="e">
        <f>D23/$D$3</f>
        <v>#DIV/0!</v>
      </c>
    </row>
    <row r="24" spans="3:5" x14ac:dyDescent="0.2">
      <c r="C24" s="6" t="s">
        <v>15</v>
      </c>
      <c r="D24">
        <f>IF($D$2=1,COUNTA(InputSheet!N:N)-1,"")</f>
        <v>0</v>
      </c>
      <c r="E24" s="7" t="e">
        <f>D24/$D$3</f>
        <v>#DIV/0!</v>
      </c>
    </row>
    <row r="25" spans="3:5" x14ac:dyDescent="0.2">
      <c r="C25" s="6" t="s">
        <v>152</v>
      </c>
      <c r="D25">
        <f>IF($D$2=1,COUNTA(InputSheet!AB:AB)-1,"")</f>
        <v>0</v>
      </c>
      <c r="E25" s="7" t="e">
        <f>D25/$D$3</f>
        <v>#DIV/0!</v>
      </c>
    </row>
    <row r="26" spans="3:5" x14ac:dyDescent="0.2">
      <c r="C26" s="6" t="s">
        <v>141</v>
      </c>
      <c r="D26">
        <f>IF($D$2=1,COUNTA(InputSheet!R:R)-1,"")</f>
        <v>0</v>
      </c>
      <c r="E26" s="7" t="e">
        <f>D26/$D$3</f>
        <v>#DIV/0!</v>
      </c>
    </row>
    <row r="27" spans="3:5" x14ac:dyDescent="0.2">
      <c r="C27" s="6" t="s">
        <v>41</v>
      </c>
      <c r="D27">
        <f>IF($D$2=1,COUNTA(InputSheet!E:E)-1,"")</f>
        <v>0</v>
      </c>
      <c r="E27" s="7" t="e">
        <f>D27/$D$3</f>
        <v>#DIV/0!</v>
      </c>
    </row>
    <row r="28" spans="3:5" x14ac:dyDescent="0.2">
      <c r="C28" s="6" t="s">
        <v>45</v>
      </c>
      <c r="D28">
        <f>IF($D$2=1,COUNTIF(InputSheet!L:L,"&gt;0"),"")</f>
        <v>0</v>
      </c>
      <c r="E28" s="7" t="e">
        <f>D28/$D$3</f>
        <v>#DIV/0!</v>
      </c>
    </row>
    <row r="29" spans="3:5" x14ac:dyDescent="0.2">
      <c r="C29" s="6" t="s">
        <v>44</v>
      </c>
      <c r="D29">
        <f>IF($D$2=1,COUNTA(InputSheet!U:U)-1,"")</f>
        <v>0</v>
      </c>
      <c r="E29" s="7" t="e">
        <f>D29/$D$3</f>
        <v>#DIV/0!</v>
      </c>
    </row>
    <row r="30" spans="3:5" x14ac:dyDescent="0.2">
      <c r="C30" s="6" t="s">
        <v>7</v>
      </c>
      <c r="D30">
        <f>IF($D$2=1,COUNTA(InputSheet!P:P)-1,"")</f>
        <v>0</v>
      </c>
      <c r="E30" s="7" t="e">
        <f>D30/$D$3</f>
        <v>#DIV/0!</v>
      </c>
    </row>
    <row r="31" spans="3:5" x14ac:dyDescent="0.2">
      <c r="C31" s="5" t="s">
        <v>22</v>
      </c>
      <c r="D31">
        <f>IF($D$2=1,COUNTA(InputSheet!F:F)-1,"")</f>
        <v>0</v>
      </c>
      <c r="E31" s="7" t="e">
        <f>D31/$D$3</f>
        <v>#DIV/0!</v>
      </c>
    </row>
    <row r="32" spans="3:5" x14ac:dyDescent="0.2">
      <c r="C32" s="6" t="s">
        <v>3</v>
      </c>
      <c r="D32">
        <f>IF($D$2=1,COUNTA(InputSheet!H:H)-1,"")</f>
        <v>0</v>
      </c>
      <c r="E32" s="7" t="e">
        <f>D32/$D$3</f>
        <v>#DIV/0!</v>
      </c>
    </row>
    <row r="33" spans="3:5" x14ac:dyDescent="0.2">
      <c r="C33" s="6" t="s">
        <v>46</v>
      </c>
      <c r="D33">
        <f>IF($D$2=1,COUNTIF(InputSheet!V:V,"&gt;0"),"")</f>
        <v>0</v>
      </c>
      <c r="E33" s="7" t="e">
        <f>D33/$D$3</f>
        <v>#DIV/0!</v>
      </c>
    </row>
    <row r="34" spans="3:5" x14ac:dyDescent="0.2">
      <c r="C34" s="6" t="s">
        <v>23</v>
      </c>
      <c r="D34">
        <f>IF($D$2=1,COUNTA(InputSheet!G:G)-1,"")</f>
        <v>0</v>
      </c>
      <c r="E34" s="7" t="e">
        <f>D34/$D$3</f>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55</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70</v>
      </c>
      <c r="C64" s="2" t="s">
        <v>48</v>
      </c>
    </row>
    <row r="65" spans="2:3" x14ac:dyDescent="0.2">
      <c r="B65" t="s">
        <v>71</v>
      </c>
      <c r="C65">
        <f>COUNTIF(InputSheet!H:H,"*Alabama*")</f>
        <v>0</v>
      </c>
    </row>
    <row r="66" spans="2:3" x14ac:dyDescent="0.2">
      <c r="B66" t="s">
        <v>72</v>
      </c>
      <c r="C66">
        <f>COUNTIF(InputSheet!H:H,"*Alaska*")</f>
        <v>0</v>
      </c>
    </row>
    <row r="67" spans="2:3" x14ac:dyDescent="0.2">
      <c r="B67" t="s">
        <v>73</v>
      </c>
      <c r="C67">
        <f>COUNTIF(InputSheet!H:H,"*Arizona*")</f>
        <v>0</v>
      </c>
    </row>
    <row r="68" spans="2:3" x14ac:dyDescent="0.2">
      <c r="B68" t="s">
        <v>74</v>
      </c>
      <c r="C68">
        <f>COUNTIF(InputSheet!H:H,"*Arkansas*")</f>
        <v>0</v>
      </c>
    </row>
    <row r="69" spans="2:3" x14ac:dyDescent="0.2">
      <c r="B69" t="s">
        <v>75</v>
      </c>
      <c r="C69">
        <f>COUNTIF(InputSheet!H:H,"*California*")</f>
        <v>0</v>
      </c>
    </row>
    <row r="70" spans="2:3" x14ac:dyDescent="0.2">
      <c r="B70" t="s">
        <v>76</v>
      </c>
      <c r="C70">
        <f>COUNTIF(InputSheet!H:H,"*Colorado*")</f>
        <v>0</v>
      </c>
    </row>
    <row r="71" spans="2:3" x14ac:dyDescent="0.2">
      <c r="B71" t="s">
        <v>77</v>
      </c>
      <c r="C71">
        <f>COUNTIF(InputSheet!H:H,"*Connecticut*")</f>
        <v>0</v>
      </c>
    </row>
    <row r="72" spans="2:3" x14ac:dyDescent="0.2">
      <c r="B72" t="s">
        <v>78</v>
      </c>
      <c r="C72">
        <f>COUNTIF(InputSheet!H:H,"*Delaware*")</f>
        <v>0</v>
      </c>
    </row>
    <row r="73" spans="2:3" x14ac:dyDescent="0.2">
      <c r="B73" t="s">
        <v>79</v>
      </c>
      <c r="C73">
        <f>COUNTIF(InputSheet!H:H,"*Florida*")</f>
        <v>0</v>
      </c>
    </row>
    <row r="74" spans="2:3" x14ac:dyDescent="0.2">
      <c r="B74" s="4" t="s">
        <v>80</v>
      </c>
      <c r="C74">
        <f>COUNTIF(InputSheet!H:H,"*Georgia*")</f>
        <v>0</v>
      </c>
    </row>
    <row r="75" spans="2:3" x14ac:dyDescent="0.2">
      <c r="B75" s="4" t="s">
        <v>81</v>
      </c>
      <c r="C75">
        <f>COUNTIF(InputSheet!H:H,"*Hawaii*")</f>
        <v>0</v>
      </c>
    </row>
    <row r="76" spans="2:3" x14ac:dyDescent="0.2">
      <c r="B76" s="4" t="s">
        <v>82</v>
      </c>
      <c r="C76">
        <f>COUNTIF(InputSheet!H:H,"*Idaho*")</f>
        <v>0</v>
      </c>
    </row>
    <row r="77" spans="2:3" x14ac:dyDescent="0.2">
      <c r="B77" s="4" t="s">
        <v>83</v>
      </c>
      <c r="C77">
        <f>COUNTIF(InputSheet!H:H,"*Illinois*")</f>
        <v>0</v>
      </c>
    </row>
    <row r="78" spans="2:3" x14ac:dyDescent="0.2">
      <c r="B78" s="4" t="s">
        <v>84</v>
      </c>
      <c r="C78">
        <f>COUNTIF(InputSheet!H:H,"*Indiana*")</f>
        <v>0</v>
      </c>
    </row>
    <row r="79" spans="2:3" x14ac:dyDescent="0.2">
      <c r="B79" s="4" t="s">
        <v>85</v>
      </c>
      <c r="C79">
        <f>COUNTIF(InputSheet!H:H,"*Iowa*")</f>
        <v>0</v>
      </c>
    </row>
    <row r="80" spans="2:3" x14ac:dyDescent="0.2">
      <c r="B80" s="4" t="s">
        <v>86</v>
      </c>
      <c r="C80">
        <f>COUNTIF(InputSheet!H:H,"*Kansas*")</f>
        <v>0</v>
      </c>
    </row>
    <row r="81" spans="2:3" x14ac:dyDescent="0.2">
      <c r="B81" s="4" t="s">
        <v>87</v>
      </c>
      <c r="C81">
        <f>COUNTIF(InputSheet!H:H,"*Kentucky*")</f>
        <v>0</v>
      </c>
    </row>
    <row r="82" spans="2:3" x14ac:dyDescent="0.2">
      <c r="B82" s="4" t="s">
        <v>88</v>
      </c>
      <c r="C82">
        <f>COUNTIF(InputSheet!H:H,"*Louisiana*")</f>
        <v>0</v>
      </c>
    </row>
    <row r="83" spans="2:3" x14ac:dyDescent="0.2">
      <c r="B83" s="4" t="s">
        <v>89</v>
      </c>
      <c r="C83">
        <f>COUNTIF(InputSheet!H:H,"*Maine*")</f>
        <v>0</v>
      </c>
    </row>
    <row r="84" spans="2:3" x14ac:dyDescent="0.2">
      <c r="B84" s="4" t="s">
        <v>90</v>
      </c>
      <c r="C84">
        <f>COUNTIF(InputSheet!H:H,"*Maryland*")</f>
        <v>0</v>
      </c>
    </row>
    <row r="85" spans="2:3" x14ac:dyDescent="0.2">
      <c r="B85" s="4" t="s">
        <v>91</v>
      </c>
      <c r="C85">
        <f>COUNTIF(InputSheet!H:H,"*Massachusetts*")</f>
        <v>0</v>
      </c>
    </row>
    <row r="86" spans="2:3" x14ac:dyDescent="0.2">
      <c r="B86" s="4" t="s">
        <v>92</v>
      </c>
      <c r="C86">
        <f>COUNTIF(InputSheet!H:H,"*Michigan*")</f>
        <v>0</v>
      </c>
    </row>
    <row r="87" spans="2:3" x14ac:dyDescent="0.2">
      <c r="B87" s="4" t="s">
        <v>93</v>
      </c>
      <c r="C87">
        <f>COUNTIF(InputSheet!H:H,"*Minnesota*")</f>
        <v>0</v>
      </c>
    </row>
    <row r="88" spans="2:3" x14ac:dyDescent="0.2">
      <c r="B88" s="4" t="s">
        <v>94</v>
      </c>
      <c r="C88">
        <f>COUNTIF(InputSheet!H:H,"*Mississippi*")</f>
        <v>0</v>
      </c>
    </row>
    <row r="89" spans="2:3" x14ac:dyDescent="0.2">
      <c r="B89" s="4" t="s">
        <v>95</v>
      </c>
      <c r="C89">
        <f>COUNTIF(InputSheet!H:H,"*Missouri*")</f>
        <v>0</v>
      </c>
    </row>
    <row r="90" spans="2:3" x14ac:dyDescent="0.2">
      <c r="B90" s="4" t="s">
        <v>96</v>
      </c>
      <c r="C90">
        <f>COUNTIF(InputSheet!H:H,"*Montana*")</f>
        <v>0</v>
      </c>
    </row>
    <row r="91" spans="2:3" x14ac:dyDescent="0.2">
      <c r="B91" s="4" t="s">
        <v>97</v>
      </c>
      <c r="C91">
        <f>COUNTIF(InputSheet!H:H,"*Nebraska*")</f>
        <v>0</v>
      </c>
    </row>
    <row r="92" spans="2:3" x14ac:dyDescent="0.2">
      <c r="B92" s="4" t="s">
        <v>98</v>
      </c>
      <c r="C92">
        <f>COUNTIF(InputSheet!H:H,"*Nevada*")</f>
        <v>0</v>
      </c>
    </row>
    <row r="93" spans="2:3" x14ac:dyDescent="0.2">
      <c r="B93" s="4" t="s">
        <v>111</v>
      </c>
      <c r="C93">
        <f>COUNTIF(InputSheet!H:H,"*New Hampshire*")</f>
        <v>0</v>
      </c>
    </row>
    <row r="94" spans="2:3" x14ac:dyDescent="0.2">
      <c r="B94" s="4" t="s">
        <v>112</v>
      </c>
      <c r="C94">
        <f>COUNTIF(InputSheet!H:H,"*New Jersey*")</f>
        <v>0</v>
      </c>
    </row>
    <row r="95" spans="2:3" x14ac:dyDescent="0.2">
      <c r="B95" s="4" t="s">
        <v>113</v>
      </c>
      <c r="C95">
        <f>COUNTIF(InputSheet!H:H,"*New Mexico*")</f>
        <v>0</v>
      </c>
    </row>
    <row r="96" spans="2:3" x14ac:dyDescent="0.2">
      <c r="B96" s="4" t="s">
        <v>114</v>
      </c>
      <c r="C96">
        <f>COUNTIF(InputSheet!H:H,"*New York*")</f>
        <v>0</v>
      </c>
    </row>
    <row r="97" spans="2:6" x14ac:dyDescent="0.2">
      <c r="B97" s="4" t="s">
        <v>115</v>
      </c>
      <c r="C97">
        <f>COUNTIF(InputSheet!H:H,"*North Carolina*")</f>
        <v>0</v>
      </c>
    </row>
    <row r="98" spans="2:6" x14ac:dyDescent="0.2">
      <c r="B98" s="4" t="s">
        <v>116</v>
      </c>
      <c r="C98">
        <f>COUNTIF(InputSheet!H:H,"*North Dakota*")</f>
        <v>0</v>
      </c>
    </row>
    <row r="99" spans="2:6" x14ac:dyDescent="0.2">
      <c r="B99" s="4" t="s">
        <v>99</v>
      </c>
      <c r="C99">
        <f>COUNTIF(InputSheet!H:H,"*Ohio*")</f>
        <v>0</v>
      </c>
    </row>
    <row r="100" spans="2:6" x14ac:dyDescent="0.2">
      <c r="B100" s="4" t="s">
        <v>100</v>
      </c>
      <c r="C100">
        <f>COUNTIF(InputSheet!H:H,"*Oklahoma*")</f>
        <v>0</v>
      </c>
    </row>
    <row r="101" spans="2:6" x14ac:dyDescent="0.2">
      <c r="B101" s="4" t="s">
        <v>101</v>
      </c>
      <c r="C101">
        <f>COUNTIF(InputSheet!H:H,"*Oregon*")</f>
        <v>0</v>
      </c>
    </row>
    <row r="102" spans="2:6" x14ac:dyDescent="0.2">
      <c r="B102" s="4" t="s">
        <v>102</v>
      </c>
      <c r="C102">
        <f>COUNTIF(InputSheet!H:H,"*Pennsylvania*")</f>
        <v>0</v>
      </c>
    </row>
    <row r="103" spans="2:6" x14ac:dyDescent="0.2">
      <c r="B103" s="4" t="s">
        <v>117</v>
      </c>
      <c r="C103">
        <f>COUNTIF(InputSheet!H:H,"*Rhode Island*")</f>
        <v>0</v>
      </c>
    </row>
    <row r="104" spans="2:6" x14ac:dyDescent="0.2">
      <c r="B104" s="4" t="s">
        <v>118</v>
      </c>
      <c r="C104">
        <f>COUNTIF(InputSheet!H:H,"*South Carolina*")</f>
        <v>0</v>
      </c>
    </row>
    <row r="105" spans="2:6" x14ac:dyDescent="0.2">
      <c r="B105" s="4" t="s">
        <v>119</v>
      </c>
      <c r="C105">
        <f>COUNTIF(InputSheet!H:H,"*South Dakota*")</f>
        <v>0</v>
      </c>
    </row>
    <row r="106" spans="2:6" x14ac:dyDescent="0.2">
      <c r="B106" s="4" t="s">
        <v>103</v>
      </c>
      <c r="C106">
        <f>COUNTIF(InputSheet!H:H,"*Tennessee*")</f>
        <v>0</v>
      </c>
    </row>
    <row r="107" spans="2:6" x14ac:dyDescent="0.2">
      <c r="B107" s="4" t="s">
        <v>104</v>
      </c>
      <c r="C107">
        <f>COUNTIF(InputSheet!H:H,"*Texas*")</f>
        <v>0</v>
      </c>
    </row>
    <row r="108" spans="2:6" x14ac:dyDescent="0.2">
      <c r="B108" s="4" t="s">
        <v>105</v>
      </c>
      <c r="C108">
        <f>COUNTIF(InputSheet!H:H,"*Utah*")</f>
        <v>0</v>
      </c>
    </row>
    <row r="109" spans="2:6" x14ac:dyDescent="0.2">
      <c r="B109" s="4" t="s">
        <v>106</v>
      </c>
      <c r="C109">
        <f>COUNTIF(InputSheet!H:H,"*Vermont*")</f>
        <v>0</v>
      </c>
    </row>
    <row r="110" spans="2:6" x14ac:dyDescent="0.2">
      <c r="B110" s="4" t="s">
        <v>107</v>
      </c>
      <c r="C110">
        <f>COUNTIF(InputSheet!H:H,"*Virginia*")</f>
        <v>0</v>
      </c>
    </row>
    <row r="111" spans="2:6" x14ac:dyDescent="0.2">
      <c r="B111" s="4" t="s">
        <v>108</v>
      </c>
      <c r="C111">
        <f>COUNTIF(InputSheet!H:H,"*, Washington*")</f>
        <v>0</v>
      </c>
      <c r="E111" s="28"/>
      <c r="F111" s="28" t="s">
        <v>138</v>
      </c>
    </row>
    <row r="112" spans="2:6" x14ac:dyDescent="0.2">
      <c r="B112" s="4" t="s">
        <v>120</v>
      </c>
      <c r="C112">
        <f>COUNTIF(InputSheet!H:H,"*West Virginia*")</f>
        <v>0</v>
      </c>
    </row>
    <row r="113" spans="2:11" x14ac:dyDescent="0.2">
      <c r="B113" s="4" t="s">
        <v>109</v>
      </c>
      <c r="C113">
        <f>COUNTIF(InputSheet!H:H,"*Wisconsin*")</f>
        <v>0</v>
      </c>
    </row>
    <row r="114" spans="2:11" x14ac:dyDescent="0.2">
      <c r="B114" s="4" t="s">
        <v>110</v>
      </c>
      <c r="C114">
        <f>COUNTIF(InputSheet!H:H,"*Wyoming*")</f>
        <v>0</v>
      </c>
    </row>
    <row r="115" spans="2:11" x14ac:dyDescent="0.2">
      <c r="B115" s="4" t="s">
        <v>139</v>
      </c>
      <c r="C115">
        <f>COUNTIF(InputSheet!H:H,"*District of Columbia*")</f>
        <v>0</v>
      </c>
    </row>
    <row r="116" spans="2:11" x14ac:dyDescent="0.2">
      <c r="B116" s="2" t="s">
        <v>47</v>
      </c>
      <c r="C116" s="2">
        <f>SUM(C65:C115)</f>
        <v>0</v>
      </c>
    </row>
    <row r="117" spans="2:11" ht="18" x14ac:dyDescent="0.25">
      <c r="K117" s="15"/>
    </row>
    <row r="118" spans="2:11" x14ac:dyDescent="0.2">
      <c r="C118" s="4" t="s">
        <v>133</v>
      </c>
      <c r="D118" s="4" t="s">
        <v>139</v>
      </c>
      <c r="E118" s="4" t="s">
        <v>126</v>
      </c>
    </row>
    <row r="119" spans="2:11" x14ac:dyDescent="0.2">
      <c r="C119" s="4" t="s">
        <v>134</v>
      </c>
      <c r="D119" s="26">
        <f>VLOOKUP(actReg,regData,2,FALSE)</f>
        <v>0</v>
      </c>
      <c r="E119" s="4" t="s">
        <v>128</v>
      </c>
    </row>
    <row r="120" spans="2:11" x14ac:dyDescent="0.2">
      <c r="C120" s="4" t="s">
        <v>132</v>
      </c>
      <c r="D120" s="4" t="str">
        <f>VLOOKUP(actRegValue,classValues,2,TRUE)</f>
        <v>class5</v>
      </c>
      <c r="E120" s="4" t="s">
        <v>127</v>
      </c>
    </row>
    <row r="124" spans="2:11" x14ac:dyDescent="0.2">
      <c r="C124">
        <v>0</v>
      </c>
      <c r="D124" s="4" t="s">
        <v>130</v>
      </c>
    </row>
    <row r="125" spans="2:11" x14ac:dyDescent="0.2">
      <c r="C125">
        <f>ROUNDUP((MAX($C$65:$C$114)*0.1167),0)</f>
        <v>0</v>
      </c>
      <c r="D125" s="4" t="s">
        <v>121</v>
      </c>
    </row>
    <row r="126" spans="2:11" x14ac:dyDescent="0.2">
      <c r="C126">
        <f>ROUNDUP((MAX($C$65:$C$114)*0.334),0)</f>
        <v>0</v>
      </c>
      <c r="D126" s="4" t="s">
        <v>122</v>
      </c>
    </row>
    <row r="127" spans="2:11" x14ac:dyDescent="0.2">
      <c r="C127">
        <f>ROUNDUP((MAX($C$65:$C$114)*0.5),0)</f>
        <v>0</v>
      </c>
      <c r="D127" s="4" t="s">
        <v>123</v>
      </c>
    </row>
    <row r="128" spans="2:11" x14ac:dyDescent="0.2">
      <c r="C128">
        <f>ROUNDUP((MAX($C$65:$C$114)*0.667),0)</f>
        <v>0</v>
      </c>
      <c r="D128" s="4" t="s">
        <v>124</v>
      </c>
    </row>
    <row r="129" spans="3:6" x14ac:dyDescent="0.2">
      <c r="C129">
        <f>ROUNDUP((MAX($C$65:$C$114)*0.833),0)</f>
        <v>0</v>
      </c>
      <c r="D129" s="4" t="s">
        <v>125</v>
      </c>
    </row>
    <row r="131" spans="3:6" x14ac:dyDescent="0.2">
      <c r="F131" s="6"/>
    </row>
    <row r="138" spans="3:6" x14ac:dyDescent="0.2">
      <c r="C138" s="58" t="s">
        <v>160</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C63" sqref="C63:N73"/>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51</v>
      </c>
      <c r="E6">
        <f>IF(Statistics!D2=1,Statistics!D5,"")</f>
        <v>3</v>
      </c>
    </row>
    <row r="7" spans="2:7" x14ac:dyDescent="0.2">
      <c r="B7" s="14" t="s">
        <v>174</v>
      </c>
      <c r="E7">
        <f>IF(Statistics!D2=1,Statistics!D3,"")</f>
        <v>0</v>
      </c>
      <c r="F7" s="7">
        <f>E7/E6</f>
        <v>0</v>
      </c>
    </row>
    <row r="8" spans="2:7" x14ac:dyDescent="0.2">
      <c r="B8" s="14" t="s">
        <v>175</v>
      </c>
      <c r="E8">
        <f>IF(Statistics!D2=1,Statistics!D7,"")</f>
        <v>0</v>
      </c>
      <c r="F8" s="7">
        <f>E8/E6</f>
        <v>0</v>
      </c>
    </row>
    <row r="9" spans="2:7" x14ac:dyDescent="0.2">
      <c r="B9" s="14" t="s">
        <v>176</v>
      </c>
      <c r="E9">
        <f>IF(Statistics!D2=1,Statistics!D8,"")</f>
        <v>0</v>
      </c>
      <c r="F9" s="7">
        <f>E9/E6</f>
        <v>0</v>
      </c>
    </row>
    <row r="12" spans="2:7" x14ac:dyDescent="0.2">
      <c r="B12" s="2" t="s">
        <v>173</v>
      </c>
    </row>
    <row r="13" spans="2:7" ht="13.5" thickBot="1" x14ac:dyDescent="0.25"/>
    <row r="14" spans="2:7" ht="13.5" thickBot="1" x14ac:dyDescent="0.25">
      <c r="B14" s="12"/>
      <c r="C14" s="12"/>
      <c r="D14" s="13" t="s">
        <v>53</v>
      </c>
      <c r="E14" s="13"/>
      <c r="F14" s="13" t="s">
        <v>54</v>
      </c>
      <c r="G14" s="12"/>
    </row>
    <row r="15" spans="2:7" x14ac:dyDescent="0.2">
      <c r="D15" s="9" t="s">
        <v>52</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Statistics!C22</f>
        <v>Has Bio</v>
      </c>
      <c r="D24">
        <f>Statistics!D22</f>
        <v>0</v>
      </c>
      <c r="F24" s="10" t="e">
        <f>Statistics!E22</f>
        <v>#DIV/0!</v>
      </c>
    </row>
    <row r="25" spans="2:6" x14ac:dyDescent="0.2">
      <c r="B25" t="str">
        <f>Statistics!C23</f>
        <v>Has Followers</v>
      </c>
      <c r="D25">
        <f>Statistics!D23</f>
        <v>0</v>
      </c>
      <c r="F25" s="10" t="e">
        <f>Statistics!E23</f>
        <v>#DIV/0!</v>
      </c>
    </row>
    <row r="26" spans="2:6" x14ac:dyDescent="0.2">
      <c r="B26" t="str">
        <f>Statistics!C24</f>
        <v>Facebook</v>
      </c>
      <c r="D26">
        <f>Statistics!D24</f>
        <v>0</v>
      </c>
      <c r="F26" s="10" t="e">
        <f>Statistics!E24</f>
        <v>#DIV/0!</v>
      </c>
    </row>
    <row r="27" spans="2:6" x14ac:dyDescent="0.2">
      <c r="B27" t="str">
        <f>Statistics!C25</f>
        <v>Is Following</v>
      </c>
      <c r="D27">
        <f>Statistics!D25</f>
        <v>0</v>
      </c>
      <c r="F27" s="10" t="e">
        <f>Statistics!E25</f>
        <v>#DIV/0!</v>
      </c>
    </row>
    <row r="28" spans="2:6" x14ac:dyDescent="0.2">
      <c r="B28" t="str">
        <f>Statistics!C26</f>
        <v>Flickr</v>
      </c>
      <c r="D28">
        <f>Statistics!D26</f>
        <v>0</v>
      </c>
      <c r="F28" s="10" t="e">
        <f>Statistics!E26</f>
        <v>#DIV/0!</v>
      </c>
    </row>
    <row r="29" spans="2:6" x14ac:dyDescent="0.2">
      <c r="B29" t="str">
        <f>Statistics!C27</f>
        <v>Name</v>
      </c>
      <c r="D29">
        <f>Statistics!D27</f>
        <v>0</v>
      </c>
      <c r="F29" s="10" t="e">
        <f>Statistics!E27</f>
        <v>#DIV/0!</v>
      </c>
    </row>
    <row r="30" spans="2:6" x14ac:dyDescent="0.2">
      <c r="B30" t="str">
        <f>Statistics!C28</f>
        <v>Photo Present</v>
      </c>
      <c r="D30">
        <f>Statistics!D28</f>
        <v>0</v>
      </c>
      <c r="F30" s="10" t="e">
        <f>Statistics!E28</f>
        <v>#DIV/0!</v>
      </c>
    </row>
    <row r="31" spans="2:6" x14ac:dyDescent="0.2">
      <c r="B31" t="str">
        <f>Statistics!C29</f>
        <v>Other Url</v>
      </c>
      <c r="D31">
        <f>Statistics!D29</f>
        <v>0</v>
      </c>
      <c r="F31" s="10" t="e">
        <f>Statistics!E29</f>
        <v>#DIV/0!</v>
      </c>
    </row>
    <row r="32" spans="2:6" x14ac:dyDescent="0.2">
      <c r="B32" t="str">
        <f>Statistics!C30</f>
        <v>MySpace</v>
      </c>
      <c r="D32">
        <f>Statistics!D30</f>
        <v>0</v>
      </c>
      <c r="F32" s="10" t="e">
        <f>Statistics!E30</f>
        <v>#DIV/0!</v>
      </c>
    </row>
    <row r="33" spans="2:7" x14ac:dyDescent="0.2">
      <c r="B33" t="str">
        <f>Statistics!C31</f>
        <v>Age</v>
      </c>
      <c r="D33">
        <f>Statistics!D31</f>
        <v>0</v>
      </c>
      <c r="F33" s="10" t="e">
        <f>Statistics!E31</f>
        <v>#DIV/0!</v>
      </c>
    </row>
    <row r="34" spans="2:7" x14ac:dyDescent="0.2">
      <c r="B34" t="str">
        <f>Statistics!C32</f>
        <v>General Location</v>
      </c>
      <c r="D34">
        <f>Statistics!D32</f>
        <v>0</v>
      </c>
      <c r="F34" s="10" t="e">
        <f>Statistics!E32</f>
        <v>#DIV/0!</v>
      </c>
    </row>
    <row r="35" spans="2:7" x14ac:dyDescent="0.2">
      <c r="B35" t="str">
        <f>Statistics!C33</f>
        <v>Url Present</v>
      </c>
      <c r="D35">
        <f>Statistics!D33</f>
        <v>0</v>
      </c>
      <c r="F35" s="10" t="e">
        <f>Statistics!E33</f>
        <v>#DIV/0!</v>
      </c>
    </row>
    <row r="36" spans="2:7" x14ac:dyDescent="0.2">
      <c r="B36" t="str">
        <f>Statistics!C34</f>
        <v>Gender</v>
      </c>
      <c r="D36">
        <f>Statistics!D34</f>
        <v>0</v>
      </c>
      <c r="F36" s="10" t="e">
        <f>Statistics!E34</f>
        <v>#DIV/0!</v>
      </c>
    </row>
    <row r="38" spans="2:7" ht="13.5" thickBot="1" x14ac:dyDescent="0.25"/>
    <row r="39" spans="2:7" ht="14.25" thickTop="1" thickBot="1" x14ac:dyDescent="0.25">
      <c r="B39" s="11"/>
      <c r="C39" s="11"/>
      <c r="D39" s="11"/>
      <c r="E39" s="11"/>
      <c r="F39" s="11"/>
      <c r="G39" s="11"/>
    </row>
    <row r="62" spans="2:15" ht="18" x14ac:dyDescent="0.25">
      <c r="B62" s="15" t="s">
        <v>171</v>
      </c>
    </row>
    <row r="63" spans="2:15" ht="20.25" customHeight="1" x14ac:dyDescent="0.2">
      <c r="C63" s="63"/>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159</v>
      </c>
    </row>
    <row r="107" spans="15:16" x14ac:dyDescent="0.2">
      <c r="O107" s="62" t="s">
        <v>129</v>
      </c>
      <c r="P107" s="62"/>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131</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62</v>
      </c>
    </row>
    <row r="3" spans="1:2" x14ac:dyDescent="0.2">
      <c r="B3" s="4" t="s">
        <v>158</v>
      </c>
    </row>
    <row r="4" spans="1:2" x14ac:dyDescent="0.2">
      <c r="B4" s="4" t="s">
        <v>63</v>
      </c>
    </row>
    <row r="5" spans="1:2" x14ac:dyDescent="0.2">
      <c r="B5" s="4" t="s">
        <v>65</v>
      </c>
    </row>
    <row r="6" spans="1:2" x14ac:dyDescent="0.2">
      <c r="B6" s="4" t="s">
        <v>66</v>
      </c>
    </row>
    <row r="7" spans="1:2" x14ac:dyDescent="0.2">
      <c r="B7" s="4" t="s">
        <v>68</v>
      </c>
    </row>
    <row r="8" spans="1:2" x14ac:dyDescent="0.2">
      <c r="B8" s="4" t="s">
        <v>67</v>
      </c>
    </row>
    <row r="9" spans="1:2" x14ac:dyDescent="0.2">
      <c r="B9" s="4" t="s">
        <v>64</v>
      </c>
    </row>
    <row r="10" spans="1:2" x14ac:dyDescent="0.2">
      <c r="B10" s="4" t="s">
        <v>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2012-02-02T23:03:36Z</dcterms:modified>
</cp:coreProperties>
</file>