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15315" windowHeight="8385"/>
  </bookViews>
  <sheets>
    <sheet name="Begin" sheetId="1" r:id="rId1"/>
    <sheet name="InputSheet" sheetId="5" r:id="rId2"/>
    <sheet name="Statistics" sheetId="3" r:id="rId3"/>
    <sheet name="Report" sheetId="6" r:id="rId4"/>
    <sheet name="ReadMe" sheetId="4" r:id="rId5"/>
  </sheets>
  <functionGroups builtInGroupCount="17"/>
  <definedNames>
    <definedName name="actReg">Statistics!#REF!</definedName>
    <definedName name="actRegCode">Statistics!#REF!</definedName>
    <definedName name="actRegValue">Statistics!#REF!</definedName>
    <definedName name="class0">Report!#REF!</definedName>
    <definedName name="class1">Report!#REF!</definedName>
    <definedName name="class2">Report!#REF!</definedName>
    <definedName name="class3">Report!#REF!</definedName>
    <definedName name="class4">Report!#REF!</definedName>
    <definedName name="class5">Report!#REF!</definedName>
    <definedName name="classValues">Statistics!#REF!</definedName>
    <definedName name="Delay_between_Passes">Begin!#REF!</definedName>
    <definedName name="fc_api_key">Begin!$H$13</definedName>
    <definedName name="fckey">Begin!$H$13</definedName>
    <definedName name="locationCount">Statistics!#REF!</definedName>
    <definedName name="merge">Report!#REF!</definedName>
    <definedName name="Number_of_Seeding_Passes">Begin!#REF!</definedName>
    <definedName name="old">Statistics!#REF!</definedName>
    <definedName name="_xlnm.Print_Area" localSheetId="2">Statistics!$G$3:$K$8</definedName>
    <definedName name="regData">Statistics!#REF!</definedName>
    <definedName name="tokenconcat">Report!#REF!</definedName>
    <definedName name="toptokenconcat">Report!#REF!</definedName>
    <definedName name="toptokencounts">Statistics!#REF!</definedName>
    <definedName name="toptokens">Statistics!#REF!</definedName>
  </definedNames>
  <calcPr calcId="145621" calcMode="manual"/>
</workbook>
</file>

<file path=xl/calcChain.xml><?xml version="1.0" encoding="utf-8"?>
<calcChain xmlns="http://schemas.openxmlformats.org/spreadsheetml/2006/main">
  <c r="E10" i="3" l="1"/>
  <c r="D7" i="3" l="1"/>
  <c r="D4" i="3"/>
  <c r="D3" i="3"/>
  <c r="E6" i="6"/>
  <c r="D6" i="3" l="1"/>
  <c r="E7" i="6"/>
  <c r="F7" i="6" s="1"/>
  <c r="E8" i="6"/>
  <c r="F8" i="6" s="1"/>
  <c r="E7" i="3" l="1"/>
  <c r="D1" i="3" l="1"/>
  <c r="B2" i="6" l="1"/>
  <c r="E3" i="3" l="1"/>
</calcChain>
</file>

<file path=xl/sharedStrings.xml><?xml version="1.0" encoding="utf-8"?>
<sst xmlns="http://schemas.openxmlformats.org/spreadsheetml/2006/main" count="40" uniqueCount="40">
  <si>
    <t>Step 1.</t>
  </si>
  <si>
    <t>Step 3.</t>
  </si>
  <si>
    <t>Clear the workbook of any old data by select "Wipe Data" below.</t>
  </si>
  <si>
    <t>Step 4.</t>
  </si>
  <si>
    <t>Step 5.</t>
  </si>
  <si>
    <t>FullContact API Key:</t>
  </si>
  <si>
    <t>Email</t>
  </si>
  <si>
    <t>Status</t>
  </si>
  <si>
    <t>Number Processed</t>
  </si>
  <si>
    <t>Number of Blanks</t>
  </si>
  <si>
    <t>Number Total</t>
  </si>
  <si>
    <t>Remaining</t>
  </si>
  <si>
    <t>Number Bad Email Addresses</t>
  </si>
  <si>
    <t>Current Row</t>
  </si>
  <si>
    <t>Count</t>
  </si>
  <si>
    <t>File</t>
  </si>
  <si>
    <t>% of Total</t>
  </si>
  <si>
    <t>Total Email Addresses</t>
  </si>
  <si>
    <t>Step 6.</t>
  </si>
  <si>
    <t>Generate a Report based on your results.</t>
  </si>
  <si>
    <t>Enter your FullContact API Key below and adjust other variables.  You can get a key at http://fullcontact.com.</t>
  </si>
  <si>
    <t>Notes:</t>
  </si>
  <si>
    <t>You can obtain an api key at http://fullcontact.com</t>
  </si>
  <si>
    <t>The largest data set this was tested on was 500k email addresses.</t>
  </si>
  <si>
    <t>If you need to take your computer offline while it is still processing, open visual basic and "pause" the macro.  You can re-start it at any time.</t>
  </si>
  <si>
    <t>If you are running this on a large data set, make sure your computer hard drive or power savings modes keep it from shutting down.</t>
  </si>
  <si>
    <t>The file will automatically save after every 10k email addresses are processed, as well as at the end.</t>
  </si>
  <si>
    <r>
      <t xml:space="preserve">Export the results to csv. </t>
    </r>
    <r>
      <rPr>
        <sz val="10"/>
        <color rgb="FFFF0000"/>
        <rFont val="Arial"/>
        <family val="2"/>
      </rPr>
      <t>(note: this uses a custom function to export as UTF-8 so allow a couple minutes for large files)</t>
    </r>
  </si>
  <si>
    <t>Step 0.</t>
  </si>
  <si>
    <t>Make sure you have the latest version of this file.  https://github.com/fullcontact/fullcontact-excel</t>
  </si>
  <si>
    <t>This has only been tested on Excel 2010 for Windows.  It does not run on Excel for Apple probably due to use of MSXML.</t>
  </si>
  <si>
    <t>Status Message</t>
  </si>
  <si>
    <t>Valid Email</t>
  </si>
  <si>
    <t>Bad Email Address</t>
  </si>
  <si>
    <t>Enter your list of email addresses in column A of "InputSheet".  The first entry should be in Cell A2.</t>
  </si>
  <si>
    <t>Click on "Validate Email Addresses" below.</t>
  </si>
  <si>
    <t>Step 2.</t>
  </si>
  <si>
    <t>Step 7.</t>
  </si>
  <si>
    <t>Save the file in a format that allows use of macros (.xlsm).</t>
  </si>
  <si>
    <t>The regex for this validation is NOT exhaustive, but isn't overly strict either.  It only validates on characters common in western countries.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</si>
</sst>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2" x14ac:knownFonts="1">
    <font>
      <sz val="10"/>
      <name val="Arial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6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sz val="16"/>
      <color indexed="5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Font="1" applyAlignment="1">
      <alignment horizontal="right"/>
    </xf>
    <xf numFmtId="10" fontId="0" fillId="0" borderId="0" xfId="1" applyNumberFormat="1" applyFont="1"/>
    <xf numFmtId="0" fontId="8" fillId="2" borderId="4" xfId="0" applyFont="1" applyFill="1" applyBorder="1"/>
    <xf numFmtId="0" fontId="5" fillId="0" borderId="0" xfId="0" applyFont="1" applyAlignment="1">
      <alignment horizontal="left"/>
    </xf>
    <xf numFmtId="0" fontId="9" fillId="0" borderId="0" xfId="0" applyFont="1"/>
    <xf numFmtId="0" fontId="7" fillId="2" borderId="4" xfId="0" applyFont="1" applyFill="1" applyBorder="1"/>
    <xf numFmtId="164" fontId="0" fillId="0" borderId="0" xfId="1" applyNumberFormat="1" applyFont="1"/>
    <xf numFmtId="0" fontId="1" fillId="0" borderId="0" xfId="0" applyFont="1" applyFill="1" applyBorder="1" applyAlignment="1">
      <alignment horizontal="center"/>
    </xf>
    <xf numFmtId="0" fontId="11" fillId="0" borderId="0" xfId="0" applyFont="1" applyAlignment="1">
      <alignment wrapText="1"/>
    </xf>
    <xf numFmtId="9" fontId="0" fillId="0" borderId="0" xfId="1" applyFo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Count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Report!$E$7:$E$8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Percentage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Report!$F$7:$F$8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15</xdr:row>
          <xdr:rowOff>152400</xdr:rowOff>
        </xdr:from>
        <xdr:to>
          <xdr:col>9</xdr:col>
          <xdr:colOff>85725</xdr:colOff>
          <xdr:row>20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Email Addresses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16</xdr:row>
          <xdr:rowOff>9525</xdr:rowOff>
        </xdr:from>
        <xdr:to>
          <xdr:col>5</xdr:col>
          <xdr:colOff>142875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Wipe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16</xdr:row>
          <xdr:rowOff>0</xdr:rowOff>
        </xdr:from>
        <xdr:to>
          <xdr:col>12</xdr:col>
          <xdr:colOff>514350</xdr:colOff>
          <xdr:row>20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Report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16</xdr:row>
          <xdr:rowOff>0</xdr:rowOff>
        </xdr:from>
        <xdr:to>
          <xdr:col>16</xdr:col>
          <xdr:colOff>304800</xdr:colOff>
          <xdr:row>20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.csv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444500</xdr:colOff>
      <xdr:row>0</xdr:row>
      <xdr:rowOff>127000</xdr:rowOff>
    </xdr:from>
    <xdr:to>
      <xdr:col>14</xdr:col>
      <xdr:colOff>511563</xdr:colOff>
      <xdr:row>3</xdr:row>
      <xdr:rowOff>67422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127000"/>
          <a:ext cx="1895863" cy="499222"/>
        </a:xfrm>
        <a:prstGeom prst="rect">
          <a:avLst/>
        </a:prstGeom>
      </xdr:spPr>
    </xdr:pic>
    <xdr:clientData/>
  </xdr:twoCellAnchor>
  <xdr:twoCellAnchor editAs="absolute">
    <xdr:from>
      <xdr:col>13</xdr:col>
      <xdr:colOff>12700</xdr:colOff>
      <xdr:row>90</xdr:row>
      <xdr:rowOff>139700</xdr:rowOff>
    </xdr:from>
    <xdr:to>
      <xdr:col>13</xdr:col>
      <xdr:colOff>170143</xdr:colOff>
      <xdr:row>92</xdr:row>
      <xdr:rowOff>33057</xdr:rowOff>
    </xdr:to>
    <xdr:sp macro="" textlink="">
      <xdr:nvSpPr>
        <xdr:cNvPr id="69" name="Delaware"/>
        <xdr:cNvSpPr/>
      </xdr:nvSpPr>
      <xdr:spPr>
        <a:xfrm>
          <a:off x="7442200" y="15087600"/>
          <a:ext cx="157443" cy="223557"/>
        </a:xfrm>
        <a:custGeom>
          <a:avLst/>
          <a:gdLst>
            <a:gd name="connsiteX0" fmla="*/ 0 w 161925"/>
            <a:gd name="connsiteY0" fmla="*/ 19050 h 228600"/>
            <a:gd name="connsiteX1" fmla="*/ 95250 w 161925"/>
            <a:gd name="connsiteY1" fmla="*/ 228600 h 228600"/>
            <a:gd name="connsiteX2" fmla="*/ 161925 w 161925"/>
            <a:gd name="connsiteY2" fmla="*/ 214313 h 228600"/>
            <a:gd name="connsiteX3" fmla="*/ 147637 w 161925"/>
            <a:gd name="connsiteY3" fmla="*/ 157163 h 228600"/>
            <a:gd name="connsiteX4" fmla="*/ 119062 w 161925"/>
            <a:gd name="connsiteY4" fmla="*/ 138113 h 228600"/>
            <a:gd name="connsiteX5" fmla="*/ 104775 w 161925"/>
            <a:gd name="connsiteY5" fmla="*/ 128588 h 228600"/>
            <a:gd name="connsiteX6" fmla="*/ 90487 w 161925"/>
            <a:gd name="connsiteY6" fmla="*/ 119063 h 228600"/>
            <a:gd name="connsiteX7" fmla="*/ 71437 w 161925"/>
            <a:gd name="connsiteY7" fmla="*/ 76200 h 228600"/>
            <a:gd name="connsiteX8" fmla="*/ 66675 w 161925"/>
            <a:gd name="connsiteY8" fmla="*/ 61913 h 228600"/>
            <a:gd name="connsiteX9" fmla="*/ 61912 w 161925"/>
            <a:gd name="connsiteY9" fmla="*/ 23813 h 228600"/>
            <a:gd name="connsiteX10" fmla="*/ 57150 w 161925"/>
            <a:gd name="connsiteY10" fmla="*/ 4763 h 228600"/>
            <a:gd name="connsiteX11" fmla="*/ 42862 w 161925"/>
            <a:gd name="connsiteY11" fmla="*/ 0 h 228600"/>
            <a:gd name="connsiteX12" fmla="*/ 0 w 161925"/>
            <a:gd name="connsiteY12" fmla="*/ 19050 h 22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61925" h="228600">
              <a:moveTo>
                <a:pt x="0" y="19050"/>
              </a:moveTo>
              <a:lnTo>
                <a:pt x="95250" y="228600"/>
              </a:lnTo>
              <a:lnTo>
                <a:pt x="161925" y="214313"/>
              </a:lnTo>
              <a:cubicBezTo>
                <a:pt x="159911" y="196188"/>
                <a:pt x="163790" y="171297"/>
                <a:pt x="147637" y="157163"/>
              </a:cubicBezTo>
              <a:cubicBezTo>
                <a:pt x="139022" y="149625"/>
                <a:pt x="128587" y="144463"/>
                <a:pt x="119062" y="138113"/>
              </a:cubicBezTo>
              <a:lnTo>
                <a:pt x="104775" y="128588"/>
              </a:lnTo>
              <a:lnTo>
                <a:pt x="90487" y="119063"/>
              </a:lnTo>
              <a:cubicBezTo>
                <a:pt x="75393" y="96421"/>
                <a:pt x="82772" y="110204"/>
                <a:pt x="71437" y="76200"/>
              </a:cubicBezTo>
              <a:lnTo>
                <a:pt x="66675" y="61913"/>
              </a:lnTo>
              <a:cubicBezTo>
                <a:pt x="65087" y="49213"/>
                <a:pt x="64016" y="36438"/>
                <a:pt x="61912" y="23813"/>
              </a:cubicBezTo>
              <a:cubicBezTo>
                <a:pt x="60836" y="17357"/>
                <a:pt x="61239" y="9874"/>
                <a:pt x="57150" y="4763"/>
              </a:cubicBezTo>
              <a:cubicBezTo>
                <a:pt x="54014" y="843"/>
                <a:pt x="47625" y="1588"/>
                <a:pt x="42862" y="0"/>
              </a:cubicBezTo>
              <a:cubicBezTo>
                <a:pt x="11333" y="21019"/>
                <a:pt x="24526" y="13930"/>
                <a:pt x="0" y="19050"/>
              </a:cubicBez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76200</xdr:colOff>
      <xdr:row>11</xdr:row>
      <xdr:rowOff>44449</xdr:rowOff>
    </xdr:from>
    <xdr:to>
      <xdr:col>8</xdr:col>
      <xdr:colOff>114300</xdr:colOff>
      <xdr:row>27</xdr:row>
      <xdr:rowOff>146049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11</xdr:row>
      <xdr:rowOff>44449</xdr:rowOff>
    </xdr:from>
    <xdr:to>
      <xdr:col>15</xdr:col>
      <xdr:colOff>50800</xdr:colOff>
      <xdr:row>27</xdr:row>
      <xdr:rowOff>146049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J14"/>
  <sheetViews>
    <sheetView showGridLines="0" tabSelected="1" workbookViewId="0">
      <selection activeCell="H13" sqref="H13:J13"/>
    </sheetView>
  </sheetViews>
  <sheetFormatPr defaultRowHeight="12.75" x14ac:dyDescent="0.2"/>
  <sheetData>
    <row r="3" spans="3:10" x14ac:dyDescent="0.2">
      <c r="C3" s="4" t="s">
        <v>28</v>
      </c>
      <c r="D3" s="4" t="s">
        <v>29</v>
      </c>
    </row>
    <row r="4" spans="3:10" x14ac:dyDescent="0.2">
      <c r="C4" t="s">
        <v>0</v>
      </c>
      <c r="D4" s="4" t="s">
        <v>38</v>
      </c>
    </row>
    <row r="5" spans="3:10" x14ac:dyDescent="0.2">
      <c r="C5" s="4" t="s">
        <v>36</v>
      </c>
      <c r="D5" t="s">
        <v>2</v>
      </c>
    </row>
    <row r="6" spans="3:10" x14ac:dyDescent="0.2">
      <c r="C6" s="4" t="s">
        <v>1</v>
      </c>
      <c r="D6" s="4" t="s">
        <v>34</v>
      </c>
    </row>
    <row r="7" spans="3:10" x14ac:dyDescent="0.2">
      <c r="C7" s="4" t="s">
        <v>3</v>
      </c>
      <c r="D7" s="4" t="s">
        <v>20</v>
      </c>
    </row>
    <row r="8" spans="3:10" x14ac:dyDescent="0.2">
      <c r="C8" s="4" t="s">
        <v>4</v>
      </c>
      <c r="D8" s="4" t="s">
        <v>35</v>
      </c>
    </row>
    <row r="9" spans="3:10" x14ac:dyDescent="0.2">
      <c r="C9" s="4" t="s">
        <v>18</v>
      </c>
      <c r="D9" s="4" t="s">
        <v>19</v>
      </c>
    </row>
    <row r="10" spans="3:10" x14ac:dyDescent="0.2">
      <c r="C10" s="4" t="s">
        <v>37</v>
      </c>
      <c r="D10" s="4" t="s">
        <v>27</v>
      </c>
    </row>
    <row r="13" spans="3:10" ht="18" x14ac:dyDescent="0.25">
      <c r="G13" s="1" t="s">
        <v>5</v>
      </c>
      <c r="H13" s="15"/>
      <c r="I13" s="16"/>
      <c r="J13" s="17"/>
    </row>
    <row r="14" spans="3:10" ht="18" x14ac:dyDescent="0.25">
      <c r="G14" s="1"/>
      <c r="H14" s="12"/>
      <c r="I14" s="12"/>
      <c r="J14" s="12"/>
    </row>
  </sheetData>
  <mergeCells count="1">
    <mergeCell ref="H13:J13"/>
  </mergeCells>
  <phoneticPr fontId="2" type="noConversion"/>
  <dataValidations count="1">
    <dataValidation allowBlank="1" showInputMessage="1" showErrorMessage="1" promptTitle="FullContact API Key" prompt="To get your FullContact API key visit http://fullcontact.com." sqref="H13:J13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rocess">
                <anchor moveWithCells="1" sizeWithCells="1">
                  <from>
                    <xdr:col>5</xdr:col>
                    <xdr:colOff>504825</xdr:colOff>
                    <xdr:row>15</xdr:row>
                    <xdr:rowOff>152400</xdr:rowOff>
                  </from>
                  <to>
                    <xdr:col>9</xdr:col>
                    <xdr:colOff>85725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heetPrompt">
                <anchor moveWithCells="1" sizeWithCells="1">
                  <from>
                    <xdr:col>1</xdr:col>
                    <xdr:colOff>561975</xdr:colOff>
                    <xdr:row>16</xdr:row>
                    <xdr:rowOff>9525</xdr:rowOff>
                  </from>
                  <to>
                    <xdr:col>5</xdr:col>
                    <xdr:colOff>142875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Report">
                <anchor moveWithCells="1" sizeWithCells="1">
                  <from>
                    <xdr:col>9</xdr:col>
                    <xdr:colOff>323850</xdr:colOff>
                    <xdr:row>16</xdr:row>
                    <xdr:rowOff>0</xdr:rowOff>
                  </from>
                  <to>
                    <xdr:col>12</xdr:col>
                    <xdr:colOff>514350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Csv">
                <anchor moveWithCells="1" sizeWithCells="1">
                  <from>
                    <xdr:col>13</xdr:col>
                    <xdr:colOff>114300</xdr:colOff>
                    <xdr:row>16</xdr:row>
                    <xdr:rowOff>0</xdr:rowOff>
                  </from>
                  <to>
                    <xdr:col>16</xdr:col>
                    <xdr:colOff>304800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A2" sqref="A2"/>
    </sheetView>
  </sheetViews>
  <sheetFormatPr defaultRowHeight="12.75" x14ac:dyDescent="0.2"/>
  <cols>
    <col min="1" max="1" width="30.7109375" customWidth="1"/>
    <col min="2" max="2" width="6.7109375" customWidth="1"/>
    <col min="3" max="3" width="50.7109375" customWidth="1"/>
    <col min="4" max="4" width="12.7109375" customWidth="1"/>
    <col min="5" max="5" width="18.7109375" customWidth="1"/>
    <col min="13" max="21" width="25.7109375" customWidth="1"/>
    <col min="22" max="31" width="12.7109375" customWidth="1"/>
    <col min="32" max="32" width="23.42578125" customWidth="1"/>
    <col min="33" max="33" width="44.28515625" customWidth="1"/>
    <col min="34" max="34" width="16.42578125" bestFit="1" customWidth="1"/>
    <col min="54" max="54" width="12.7109375" customWidth="1"/>
  </cols>
  <sheetData>
    <row r="1" spans="1:3" s="2" customFormat="1" x14ac:dyDescent="0.2">
      <c r="A1" s="2" t="s">
        <v>6</v>
      </c>
      <c r="B1" s="2" t="s">
        <v>7</v>
      </c>
      <c r="C1" s="2" t="s">
        <v>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I19"/>
  <sheetViews>
    <sheetView zoomScale="85" zoomScaleNormal="85" workbookViewId="0">
      <selection activeCell="E11" sqref="E11"/>
    </sheetView>
  </sheetViews>
  <sheetFormatPr defaultRowHeight="12.75" x14ac:dyDescent="0.2"/>
  <cols>
    <col min="7" max="7" width="9.140625" customWidth="1"/>
  </cols>
  <sheetData>
    <row r="1" spans="3:9" x14ac:dyDescent="0.2">
      <c r="C1" s="4" t="s">
        <v>15</v>
      </c>
      <c r="D1" s="4" t="str">
        <f ca="1">MID(CELL("filename"),SEARCH("[",CELL("filename"))+1, SEARCH("]",CELL("filename"))-SEARCH("[",CELL("filename"))-1)</f>
        <v>FullContact Email Syntax Validation - Template.xltm</v>
      </c>
    </row>
    <row r="2" spans="3:9" x14ac:dyDescent="0.2">
      <c r="C2" s="4"/>
      <c r="E2" s="4"/>
    </row>
    <row r="3" spans="3:9" x14ac:dyDescent="0.2">
      <c r="C3" s="3" t="s">
        <v>8</v>
      </c>
      <c r="D3">
        <f>COUNTIF(InputSheet!B:B,200)</f>
        <v>0</v>
      </c>
      <c r="E3" s="6">
        <f>D3/D5</f>
        <v>0</v>
      </c>
    </row>
    <row r="4" spans="3:9" x14ac:dyDescent="0.2">
      <c r="C4" s="3" t="s">
        <v>9</v>
      </c>
      <c r="D4">
        <f>COUNTBLANK(InputSheet!B:B)</f>
        <v>1048575</v>
      </c>
    </row>
    <row r="5" spans="3:9" x14ac:dyDescent="0.2">
      <c r="C5" s="3" t="s">
        <v>10</v>
      </c>
      <c r="D5">
        <v>16</v>
      </c>
    </row>
    <row r="6" spans="3:9" x14ac:dyDescent="0.2">
      <c r="C6" s="3" t="s">
        <v>11</v>
      </c>
      <c r="D6">
        <f>D5-D3-D7</f>
        <v>16</v>
      </c>
    </row>
    <row r="7" spans="3:9" x14ac:dyDescent="0.2">
      <c r="C7" s="3" t="s">
        <v>12</v>
      </c>
      <c r="D7">
        <f>COUNTIF(InputSheet!B:B,422)</f>
        <v>0</v>
      </c>
      <c r="E7" s="11">
        <f>D7/D5</f>
        <v>0</v>
      </c>
    </row>
    <row r="10" spans="3:9" x14ac:dyDescent="0.2">
      <c r="C10" s="5" t="s">
        <v>13</v>
      </c>
      <c r="D10">
        <v>17</v>
      </c>
      <c r="E10" s="14">
        <f>D10/D5</f>
        <v>1.0625</v>
      </c>
    </row>
    <row r="11" spans="3:9" x14ac:dyDescent="0.2">
      <c r="C11" s="4"/>
    </row>
    <row r="16" spans="3:9" ht="12.75" customHeight="1" x14ac:dyDescent="0.3">
      <c r="C16" s="13"/>
      <c r="D16" s="13"/>
      <c r="E16" s="13"/>
      <c r="F16" s="13"/>
      <c r="G16" s="13"/>
      <c r="H16" s="13"/>
      <c r="I16" s="13"/>
    </row>
    <row r="17" spans="3:9" ht="12.75" customHeight="1" x14ac:dyDescent="0.3">
      <c r="C17" s="13"/>
      <c r="D17" s="13"/>
      <c r="E17" s="13"/>
      <c r="F17" s="13"/>
      <c r="G17" s="13"/>
      <c r="H17" s="13"/>
      <c r="I17" s="13"/>
    </row>
    <row r="18" spans="3:9" ht="12.75" customHeight="1" x14ac:dyDescent="0.3">
      <c r="C18" s="13"/>
      <c r="D18" s="13"/>
      <c r="E18" s="13"/>
      <c r="F18" s="13"/>
      <c r="G18" s="13"/>
      <c r="H18" s="13"/>
      <c r="I18" s="13"/>
    </row>
    <row r="19" spans="3:9" ht="12.75" customHeight="1" x14ac:dyDescent="0.3">
      <c r="C19" s="13"/>
      <c r="D19" s="13"/>
      <c r="E19" s="13"/>
      <c r="F19" s="13"/>
      <c r="G19" s="13"/>
      <c r="H19" s="13"/>
      <c r="I19" s="13"/>
    </row>
  </sheetData>
  <sortState ref="C140:D164">
    <sortCondition ref="C140"/>
  </sortState>
  <phoneticPr fontId="2" type="noConversion"/>
  <pageMargins left="0.25" right="0.25" top="0.75" bottom="0.75" header="0.3" footer="0.3"/>
  <pageSetup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8"/>
  <sheetViews>
    <sheetView topLeftCell="A4" zoomScale="75" zoomScaleNormal="75" workbookViewId="0">
      <selection activeCell="L33" sqref="L33"/>
    </sheetView>
  </sheetViews>
  <sheetFormatPr defaultRowHeight="12.75" x14ac:dyDescent="0.2"/>
  <cols>
    <col min="1" max="1" width="1.7109375" customWidth="1"/>
    <col min="16" max="16" width="2.7109375" customWidth="1"/>
  </cols>
  <sheetData>
    <row r="1" spans="2:7" x14ac:dyDescent="0.2">
      <c r="E1" s="3"/>
    </row>
    <row r="2" spans="2:7" ht="18" x14ac:dyDescent="0.25">
      <c r="B2" s="9" t="str">
        <f ca="1">CONCATENATE("Results for ",Statistics!D1)</f>
        <v>Results for FullContact Email Syntax Validation - Template.xltm</v>
      </c>
      <c r="D2" s="3"/>
    </row>
    <row r="4" spans="2:7" ht="13.5" thickBot="1" x14ac:dyDescent="0.25"/>
    <row r="5" spans="2:7" ht="13.5" thickBot="1" x14ac:dyDescent="0.25">
      <c r="B5" s="10"/>
      <c r="C5" s="10"/>
      <c r="D5" s="7"/>
      <c r="E5" s="7" t="s">
        <v>14</v>
      </c>
      <c r="F5" s="7" t="s">
        <v>16</v>
      </c>
      <c r="G5" s="10"/>
    </row>
    <row r="6" spans="2:7" x14ac:dyDescent="0.2">
      <c r="B6" s="8" t="s">
        <v>17</v>
      </c>
      <c r="E6">
        <f>Statistics!D5</f>
        <v>16</v>
      </c>
    </row>
    <row r="7" spans="2:7" x14ac:dyDescent="0.2">
      <c r="B7" s="8" t="s">
        <v>32</v>
      </c>
      <c r="E7">
        <f>Statistics!D3</f>
        <v>0</v>
      </c>
      <c r="F7" s="6">
        <f>E7/E6</f>
        <v>0</v>
      </c>
    </row>
    <row r="8" spans="2:7" x14ac:dyDescent="0.2">
      <c r="B8" s="8" t="s">
        <v>33</v>
      </c>
      <c r="E8">
        <f>Statistics!D7</f>
        <v>0</v>
      </c>
      <c r="F8" s="6">
        <f>E8/E6</f>
        <v>0</v>
      </c>
    </row>
  </sheetData>
  <pageMargins left="0.25" right="0.25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9"/>
  <sheetViews>
    <sheetView showGridLines="0" workbookViewId="0"/>
  </sheetViews>
  <sheetFormatPr defaultRowHeight="12.75" x14ac:dyDescent="0.2"/>
  <cols>
    <col min="1" max="1" width="3.28515625" customWidth="1"/>
  </cols>
  <sheetData>
    <row r="2" spans="1:2" x14ac:dyDescent="0.2">
      <c r="A2" s="2" t="s">
        <v>21</v>
      </c>
    </row>
    <row r="3" spans="1:2" x14ac:dyDescent="0.2">
      <c r="B3" s="4" t="s">
        <v>30</v>
      </c>
    </row>
    <row r="4" spans="1:2" x14ac:dyDescent="0.2">
      <c r="B4" s="4" t="s">
        <v>22</v>
      </c>
    </row>
    <row r="5" spans="1:2" x14ac:dyDescent="0.2">
      <c r="B5" s="4" t="s">
        <v>39</v>
      </c>
    </row>
    <row r="6" spans="1:2" x14ac:dyDescent="0.2">
      <c r="B6" s="4" t="s">
        <v>25</v>
      </c>
    </row>
    <row r="7" spans="1:2" x14ac:dyDescent="0.2">
      <c r="B7" s="4" t="s">
        <v>24</v>
      </c>
    </row>
    <row r="8" spans="1:2" x14ac:dyDescent="0.2">
      <c r="B8" s="4" t="s">
        <v>23</v>
      </c>
    </row>
    <row r="9" spans="1:2" x14ac:dyDescent="0.2">
      <c r="B9" s="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Begin</vt:lpstr>
      <vt:lpstr>InputSheet</vt:lpstr>
      <vt:lpstr>Statistics</vt:lpstr>
      <vt:lpstr>Report</vt:lpstr>
      <vt:lpstr>ReadMe</vt:lpstr>
      <vt:lpstr>fc_api_key</vt:lpstr>
      <vt:lpstr>fckey</vt:lpstr>
      <vt:lpstr>Statistics!Print_Area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Todd</dc:creator>
  <cp:lastModifiedBy>Travis Todd</cp:lastModifiedBy>
  <cp:lastPrinted>2012-01-31T20:38:59Z</cp:lastPrinted>
  <dcterms:created xsi:type="dcterms:W3CDTF">2011-11-06T04:09:30Z</dcterms:created>
  <dcterms:modified xsi:type="dcterms:W3CDTF">2013-05-23T23:05:24Z</dcterms:modified>
</cp:coreProperties>
</file>