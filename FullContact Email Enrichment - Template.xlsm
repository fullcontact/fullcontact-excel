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2"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Statistics!$G$3:$W$118</definedName>
    <definedName name="regData">Statistics!$B$52:$C$101</definedName>
  </definedNames>
  <calcPr calcId="145621"/>
</workbook>
</file>

<file path=xl/calcChain.xml><?xml version="1.0" encoding="utf-8"?>
<calcChain xmlns="http://schemas.openxmlformats.org/spreadsheetml/2006/main">
  <c r="E32" i="3" l="1"/>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D106" i="3" l="1"/>
  <c r="C52" i="3"/>
  <c r="C112" i="3" l="1"/>
  <c r="C114" i="3"/>
  <c r="C116" i="3"/>
  <c r="U116" i="3" s="1"/>
  <c r="C113" i="3"/>
  <c r="U113" i="3" s="1"/>
  <c r="C115" i="3"/>
  <c r="U115" i="3" s="1"/>
  <c r="D107" i="3"/>
  <c r="E10" i="3"/>
  <c r="U114" i="3" l="1"/>
  <c r="U111" i="3"/>
  <c r="U112" i="3"/>
  <c r="E33" i="3"/>
  <c r="E34" i="3"/>
  <c r="E35" i="3"/>
  <c r="E36" i="3"/>
  <c r="E37" i="3"/>
  <c r="E38" i="3"/>
  <c r="E27" i="3"/>
  <c r="D27" i="3"/>
  <c r="D24" i="3"/>
  <c r="D23" i="3"/>
  <c r="D22" i="3"/>
  <c r="D21" i="3"/>
  <c r="D20" i="3"/>
  <c r="D19" i="3"/>
  <c r="D18" i="3"/>
  <c r="D17" i="3"/>
  <c r="D16" i="3"/>
  <c r="D15" i="3"/>
  <c r="D14" i="3"/>
  <c r="D13" i="3"/>
  <c r="D12" i="3"/>
  <c r="K12" i="3"/>
  <c r="D8" i="3" l="1"/>
  <c r="K15" i="3" s="1"/>
  <c r="D7" i="3"/>
  <c r="K14" i="3" s="1"/>
  <c r="D4" i="3"/>
  <c r="D3" i="3"/>
  <c r="K13" i="3" s="1"/>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<sst xmlns="http://schemas.openxmlformats.org/spreadsheetml/2006/main" count="161" uniqueCount="143">
  <si>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</si>
  <si>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</si>
  <si>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</si>
  <si>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</si>
  <si>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</si>
  <si>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</si>
  <si>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</si>
  <si>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</si>
  <si>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</si>
  <si>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</si>
  <si>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</si>
  <si>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</si>
  <si>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</si>
  <si>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</si>
  <si>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</si>
  <si>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</si>
  <si>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Export the results to csv.</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</si>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</sst>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2"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2">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0" fillId="0" borderId="0" xfId="0" applyAlignment="1">
      <alignment horizontal="left"/>
    </xf>
    <xf numFmtId="0" fontId="11" fillId="0" borderId="0" xfId="0" applyFont="1" applyAlignment="1">
      <alignment horizontal="center"/>
    </xf>
    <xf numFmtId="0" fontId="5" fillId="0" borderId="0" xfId="0" quotePrefix="1" applyFont="1" applyAlignment="1">
      <alignment horizontal="right"/>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50543616"/>
        <c:axId val="50578176"/>
      </c:barChart>
      <c:catAx>
        <c:axId val="50543616"/>
        <c:scaling>
          <c:orientation val="minMax"/>
        </c:scaling>
        <c:delete val="0"/>
        <c:axPos val="l"/>
        <c:majorTickMark val="out"/>
        <c:minorTickMark val="none"/>
        <c:tickLblPos val="nextTo"/>
        <c:crossAx val="50578176"/>
        <c:crosses val="autoZero"/>
        <c:auto val="1"/>
        <c:lblAlgn val="ctr"/>
        <c:lblOffset val="100"/>
        <c:noMultiLvlLbl val="0"/>
      </c:catAx>
      <c:valAx>
        <c:axId val="50578176"/>
        <c:scaling>
          <c:orientation val="minMax"/>
        </c:scaling>
        <c:delete val="0"/>
        <c:axPos val="b"/>
        <c:majorGridlines/>
        <c:numFmt formatCode="0%" sourceLinked="0"/>
        <c:majorTickMark val="out"/>
        <c:minorTickMark val="none"/>
        <c:tickLblPos val="nextTo"/>
        <c:crossAx val="5054361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89500672"/>
        <c:axId val="89510656"/>
      </c:barChart>
      <c:catAx>
        <c:axId val="89500672"/>
        <c:scaling>
          <c:orientation val="minMax"/>
        </c:scaling>
        <c:delete val="0"/>
        <c:axPos val="b"/>
        <c:majorTickMark val="out"/>
        <c:minorTickMark val="none"/>
        <c:tickLblPos val="nextTo"/>
        <c:crossAx val="89510656"/>
        <c:crosses val="autoZero"/>
        <c:auto val="1"/>
        <c:lblAlgn val="ctr"/>
        <c:lblOffset val="100"/>
        <c:noMultiLvlLbl val="0"/>
      </c:catAx>
      <c:valAx>
        <c:axId val="89510656"/>
        <c:scaling>
          <c:orientation val="minMax"/>
        </c:scaling>
        <c:delete val="0"/>
        <c:axPos val="l"/>
        <c:majorGridlines/>
        <c:numFmt formatCode="0.0%" sourceLinked="1"/>
        <c:majorTickMark val="out"/>
        <c:minorTickMark val="none"/>
        <c:tickLblPos val="nextTo"/>
        <c:crossAx val="8950067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295275</xdr:colOff>
      <xdr:row>82</xdr:row>
      <xdr:rowOff>104775</xdr:rowOff>
    </xdr:from>
    <xdr:to>
      <xdr:col>10</xdr:col>
      <xdr:colOff>57150</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45518</xdr:colOff>
      <xdr:row>85</xdr:row>
      <xdr:rowOff>114300</xdr:rowOff>
    </xdr:from>
    <xdr:to>
      <xdr:col>9</xdr:col>
      <xdr:colOff>602136</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476250</xdr:colOff>
      <xdr:row>90</xdr:row>
      <xdr:rowOff>47625</xdr:rowOff>
    </xdr:from>
    <xdr:to>
      <xdr:col>9</xdr:col>
      <xdr:colOff>609600</xdr:colOff>
      <xdr:row>103</xdr:row>
      <xdr:rowOff>0</xdr:rowOff>
    </xdr:to>
    <xdr:sp macro="" textlink="">
      <xdr:nvSpPr>
        <xdr:cNvPr id="11" name="California"/>
        <xdr:cNvSpPr/>
      </xdr:nvSpPr>
      <xdr:spPr>
        <a:xfrm>
          <a:off x="4619625" y="11677650"/>
          <a:ext cx="1352550" cy="2057400"/>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485775</xdr:colOff>
      <xdr:row>91</xdr:row>
      <xdr:rowOff>57150</xdr:rowOff>
    </xdr:from>
    <xdr:to>
      <xdr:col>10</xdr:col>
      <xdr:colOff>209550</xdr:colOff>
      <xdr:row>100</xdr:row>
      <xdr:rowOff>28575</xdr:rowOff>
    </xdr:to>
    <xdr:sp macro="" textlink="">
      <xdr:nvSpPr>
        <xdr:cNvPr id="13" name="Nevada"/>
        <xdr:cNvSpPr/>
      </xdr:nvSpPr>
      <xdr:spPr>
        <a:xfrm>
          <a:off x="5238750" y="11849100"/>
          <a:ext cx="1000125" cy="1428750"/>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428625</xdr:colOff>
      <xdr:row>84</xdr:row>
      <xdr:rowOff>0</xdr:rowOff>
    </xdr:from>
    <xdr:to>
      <xdr:col>11</xdr:col>
      <xdr:colOff>47625</xdr:colOff>
      <xdr:row>92</xdr:row>
      <xdr:rowOff>133542</xdr:rowOff>
    </xdr:to>
    <xdr:sp macro="" textlink="">
      <xdr:nvSpPr>
        <xdr:cNvPr id="14" name="Idaho"/>
        <xdr:cNvSpPr/>
      </xdr:nvSpPr>
      <xdr:spPr>
        <a:xfrm>
          <a:off x="5791200" y="10658475"/>
          <a:ext cx="895350" cy="1428942"/>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142875</xdr:colOff>
      <xdr:row>84</xdr:row>
      <xdr:rowOff>28575</xdr:rowOff>
    </xdr:from>
    <xdr:to>
      <xdr:col>12</xdr:col>
      <xdr:colOff>362706</xdr:colOff>
      <xdr:row>90</xdr:row>
      <xdr:rowOff>9525</xdr:rowOff>
    </xdr:to>
    <xdr:sp macro="" textlink="">
      <xdr:nvSpPr>
        <xdr:cNvPr id="16" name="Montana"/>
        <xdr:cNvSpPr/>
      </xdr:nvSpPr>
      <xdr:spPr>
        <a:xfrm>
          <a:off x="5505450" y="10848975"/>
          <a:ext cx="1496181" cy="952500"/>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552263</xdr:colOff>
      <xdr:row>89</xdr:row>
      <xdr:rowOff>85725</xdr:rowOff>
    </xdr:from>
    <xdr:to>
      <xdr:col>12</xdr:col>
      <xdr:colOff>298511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85440</xdr:colOff>
      <xdr:row>92</xdr:row>
      <xdr:rowOff>95250</xdr:rowOff>
    </xdr:from>
    <xdr:to>
      <xdr:col>11</xdr:col>
      <xdr:colOff>209550</xdr:colOff>
      <xdr:row>98</xdr:row>
      <xdr:rowOff>123825</xdr:rowOff>
    </xdr:to>
    <xdr:sp macro="" textlink="">
      <xdr:nvSpPr>
        <xdr:cNvPr id="18" name="Utah"/>
        <xdr:cNvSpPr/>
      </xdr:nvSpPr>
      <xdr:spPr>
        <a:xfrm>
          <a:off x="6114765" y="12049125"/>
          <a:ext cx="733710" cy="1000125"/>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419100</xdr:colOff>
      <xdr:row>98</xdr:row>
      <xdr:rowOff>0</xdr:rowOff>
    </xdr:from>
    <xdr:to>
      <xdr:col>11</xdr:col>
      <xdr:colOff>108197</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121235</xdr:colOff>
      <xdr:row>94</xdr:row>
      <xdr:rowOff>57150</xdr:rowOff>
    </xdr:from>
    <xdr:to>
      <xdr:col>12</xdr:col>
      <xdr:colOff>552450</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3470</xdr:colOff>
      <xdr:row>98</xdr:row>
      <xdr:rowOff>142875</xdr:rowOff>
    </xdr:from>
    <xdr:to>
      <xdr:col>12</xdr:col>
      <xdr:colOff>404181</xdr:colOff>
      <xdr:row>105</xdr:row>
      <xdr:rowOff>95250</xdr:rowOff>
    </xdr:to>
    <xdr:sp macro="" textlink="">
      <xdr:nvSpPr>
        <xdr:cNvPr id="21" name="New_Mexico"/>
        <xdr:cNvSpPr/>
      </xdr:nvSpPr>
      <xdr:spPr>
        <a:xfrm>
          <a:off x="6032795" y="13230225"/>
          <a:ext cx="1010311" cy="1085850"/>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333375</xdr:colOff>
      <xdr:row>85</xdr:row>
      <xdr:rowOff>66675</xdr:rowOff>
    </xdr:from>
    <xdr:to>
      <xdr:col>14</xdr:col>
      <xdr:colOff>38100</xdr:colOff>
      <xdr:row>88</xdr:row>
      <xdr:rowOff>152400</xdr:rowOff>
    </xdr:to>
    <xdr:sp macro="" textlink="">
      <xdr:nvSpPr>
        <xdr:cNvPr id="23" name="North_Dakota"/>
        <xdr:cNvSpPr/>
      </xdr:nvSpPr>
      <xdr:spPr>
        <a:xfrm>
          <a:off x="6972300" y="11049000"/>
          <a:ext cx="923925" cy="571500"/>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304800</xdr:colOff>
      <xdr:row>88</xdr:row>
      <xdr:rowOff>152400</xdr:rowOff>
    </xdr:from>
    <xdr:to>
      <xdr:col>14</xdr:col>
      <xdr:colOff>95995</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295275</xdr:colOff>
      <xdr:row>92</xdr:row>
      <xdr:rowOff>66675</xdr:rowOff>
    </xdr:from>
    <xdr:to>
      <xdr:col>14</xdr:col>
      <xdr:colOff>266700</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542925</xdr:colOff>
      <xdr:row>95</xdr:row>
      <xdr:rowOff>114300</xdr:rowOff>
    </xdr:from>
    <xdr:to>
      <xdr:col>14</xdr:col>
      <xdr:colOff>428625</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409575</xdr:colOff>
      <xdr:row>99</xdr:row>
      <xdr:rowOff>38100</xdr:rowOff>
    </xdr:from>
    <xdr:to>
      <xdr:col>14</xdr:col>
      <xdr:colOff>524295</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428625</xdr:colOff>
      <xdr:row>99</xdr:row>
      <xdr:rowOff>133350</xdr:rowOff>
    </xdr:from>
    <xdr:to>
      <xdr:col>15</xdr:col>
      <xdr:colOff>47910</xdr:colOff>
      <xdr:row>111</xdr:row>
      <xdr:rowOff>143691</xdr:rowOff>
    </xdr:to>
    <xdr:sp macro="" textlink="">
      <xdr:nvSpPr>
        <xdr:cNvPr id="29" name="Texas"/>
        <xdr:cNvSpPr/>
      </xdr:nvSpPr>
      <xdr:spPr>
        <a:xfrm>
          <a:off x="7067550" y="13220700"/>
          <a:ext cx="2057685" cy="1953441"/>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149369</xdr:colOff>
      <xdr:row>103</xdr:row>
      <xdr:rowOff>76200</xdr:rowOff>
    </xdr:from>
    <xdr:to>
      <xdr:col>9</xdr:col>
      <xdr:colOff>603809</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114300</xdr:colOff>
      <xdr:row>113</xdr:row>
      <xdr:rowOff>47624</xdr:rowOff>
    </xdr:from>
    <xdr:to>
      <xdr:col>9</xdr:col>
      <xdr:colOff>7804</xdr:colOff>
      <xdr:row>115</xdr:row>
      <xdr:rowOff>95249</xdr:rowOff>
    </xdr:to>
    <xdr:grpSp>
      <xdr:nvGrpSpPr>
        <xdr:cNvPr id="181" name="Hawaii"/>
        <xdr:cNvGrpSpPr/>
      </xdr:nvGrpSpPr>
      <xdr:grpSpPr>
        <a:xfrm>
          <a:off x="4867275" y="18478499"/>
          <a:ext cx="503104" cy="371475"/>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14</xdr:col>
      <xdr:colOff>557213</xdr:colOff>
      <xdr:row>103</xdr:row>
      <xdr:rowOff>61913</xdr:rowOff>
    </xdr:from>
    <xdr:to>
      <xdr:col>16</xdr:col>
      <xdr:colOff>152400</xdr:colOff>
      <xdr:row>107</xdr:row>
      <xdr:rowOff>157163</xdr:rowOff>
    </xdr:to>
    <xdr:sp macro="" textlink="">
      <xdr:nvSpPr>
        <xdr:cNvPr id="160" name="Louisiana"/>
        <xdr:cNvSpPr/>
      </xdr:nvSpPr>
      <xdr:spPr>
        <a:xfrm>
          <a:off x="8415338" y="13958888"/>
          <a:ext cx="814387" cy="742950"/>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361950</xdr:colOff>
      <xdr:row>104</xdr:row>
      <xdr:rowOff>36755</xdr:rowOff>
    </xdr:from>
    <xdr:to>
      <xdr:col>18</xdr:col>
      <xdr:colOff>442913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442913</xdr:colOff>
      <xdr:row>99</xdr:row>
      <xdr:rowOff>42863</xdr:rowOff>
    </xdr:from>
    <xdr:to>
      <xdr:col>15</xdr:col>
      <xdr:colOff>538192</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219075</xdr:colOff>
      <xdr:row>94</xdr:row>
      <xdr:rowOff>128588</xdr:rowOff>
    </xdr:from>
    <xdr:to>
      <xdr:col>16</xdr:col>
      <xdr:colOff>14288</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79862</xdr:colOff>
      <xdr:row>91</xdr:row>
      <xdr:rowOff>47625</xdr:rowOff>
    </xdr:from>
    <xdr:to>
      <xdr:col>15</xdr:col>
      <xdr:colOff>347861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557213</xdr:colOff>
      <xdr:row>84</xdr:row>
      <xdr:rowOff>142875</xdr:rowOff>
    </xdr:from>
    <xdr:to>
      <xdr:col>15</xdr:col>
      <xdr:colOff>252413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538163</xdr:colOff>
      <xdr:row>87</xdr:row>
      <xdr:rowOff>80963</xdr:rowOff>
    </xdr:from>
    <xdr:to>
      <xdr:col>16</xdr:col>
      <xdr:colOff>66675</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200025</xdr:colOff>
      <xdr:row>86</xdr:row>
      <xdr:rowOff>61913</xdr:rowOff>
    </xdr:from>
    <xdr:to>
      <xdr:col>17</xdr:col>
      <xdr:colOff>143074</xdr:colOff>
      <xdr:row>92</xdr:row>
      <xdr:rowOff>104775</xdr:rowOff>
    </xdr:to>
    <xdr:grpSp>
      <xdr:nvGrpSpPr>
        <xdr:cNvPr id="180" name="Michigan"/>
        <xdr:cNvGrpSpPr/>
      </xdr:nvGrpSpPr>
      <xdr:grpSpPr>
        <a:xfrm>
          <a:off x="9277350" y="14120813"/>
          <a:ext cx="1162249" cy="1014412"/>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209550</xdr:colOff>
      <xdr:row>92</xdr:row>
      <xdr:rowOff>0</xdr:rowOff>
    </xdr:from>
    <xdr:to>
      <xdr:col>16</xdr:col>
      <xdr:colOff>190500</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128588</xdr:colOff>
      <xdr:row>92</xdr:row>
      <xdr:rowOff>61913</xdr:rowOff>
    </xdr:from>
    <xdr:to>
      <xdr:col>16</xdr:col>
      <xdr:colOff>571500</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476250</xdr:colOff>
      <xdr:row>91</xdr:row>
      <xdr:rowOff>47625</xdr:rowOff>
    </xdr:from>
    <xdr:to>
      <xdr:col>17</xdr:col>
      <xdr:colOff>491096</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340803</xdr:colOff>
      <xdr:row>100</xdr:row>
      <xdr:rowOff>114300</xdr:rowOff>
    </xdr:from>
    <xdr:to>
      <xdr:col>16</xdr:col>
      <xdr:colOff>233363</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180975</xdr:colOff>
      <xdr:row>100</xdr:row>
      <xdr:rowOff>42863</xdr:rowOff>
    </xdr:from>
    <xdr:to>
      <xdr:col>17</xdr:col>
      <xdr:colOff>143411</xdr:colOff>
      <xdr:row>105</xdr:row>
      <xdr:rowOff>157163</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585788</xdr:colOff>
      <xdr:row>99</xdr:row>
      <xdr:rowOff>108693</xdr:rowOff>
    </xdr:from>
    <xdr:to>
      <xdr:col>18</xdr:col>
      <xdr:colOff>123825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309563</xdr:colOff>
      <xdr:row>99</xdr:row>
      <xdr:rowOff>14288</xdr:rowOff>
    </xdr:from>
    <xdr:to>
      <xdr:col>18</xdr:col>
      <xdr:colOff>419100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495058</xdr:colOff>
      <xdr:row>97</xdr:row>
      <xdr:rowOff>114300</xdr:rowOff>
    </xdr:from>
    <xdr:to>
      <xdr:col>17</xdr:col>
      <xdr:colOff>461963</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4763</xdr:colOff>
      <xdr:row>95</xdr:row>
      <xdr:rowOff>61913</xdr:rowOff>
    </xdr:from>
    <xdr:to>
      <xdr:col>17</xdr:col>
      <xdr:colOff>376238</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165401</xdr:colOff>
      <xdr:row>96</xdr:row>
      <xdr:rowOff>14288</xdr:rowOff>
    </xdr:from>
    <xdr:to>
      <xdr:col>19</xdr:col>
      <xdr:colOff>147638</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233214</xdr:colOff>
      <xdr:row>93</xdr:row>
      <xdr:rowOff>85725</xdr:rowOff>
    </xdr:from>
    <xdr:to>
      <xdr:col>19</xdr:col>
      <xdr:colOff>85725</xdr:colOff>
      <xdr:row>97</xdr:row>
      <xdr:rowOff>157163</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304800</xdr:colOff>
      <xdr:row>93</xdr:row>
      <xdr:rowOff>38100</xdr:rowOff>
    </xdr:from>
    <xdr:to>
      <xdr:col>18</xdr:col>
      <xdr:colOff>319356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428625</xdr:colOff>
      <xdr:row>89</xdr:row>
      <xdr:rowOff>133350</xdr:rowOff>
    </xdr:from>
    <xdr:to>
      <xdr:col>19</xdr:col>
      <xdr:colOff>61913</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57150</xdr:colOff>
      <xdr:row>92</xdr:row>
      <xdr:rowOff>85725</xdr:rowOff>
    </xdr:from>
    <xdr:to>
      <xdr:col>19</xdr:col>
      <xdr:colOff>101144</xdr:colOff>
      <xdr:row>94</xdr:row>
      <xdr:rowOff>153923</xdr:rowOff>
    </xdr:to>
    <xdr:sp macro="" textlink="">
      <xdr:nvSpPr>
        <xdr:cNvPr id="189" name="Maryland"/>
        <xdr:cNvSpPr/>
      </xdr:nvSpPr>
      <xdr:spPr>
        <a:xfrm>
          <a:off x="10353675" y="12201525"/>
          <a:ext cx="653594" cy="39204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557213</xdr:colOff>
      <xdr:row>92</xdr:row>
      <xdr:rowOff>66675</xdr:rowOff>
    </xdr:from>
    <xdr:to>
      <xdr:col>19</xdr:col>
      <xdr:colOff>109538</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600075</xdr:colOff>
      <xdr:row>90</xdr:row>
      <xdr:rowOff>66675</xdr:rowOff>
    </xdr:from>
    <xdr:to>
      <xdr:col>19</xdr:col>
      <xdr:colOff>181800</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481013</xdr:colOff>
      <xdr:row>85</xdr:row>
      <xdr:rowOff>147638</xdr:rowOff>
    </xdr:from>
    <xdr:to>
      <xdr:col>19</xdr:col>
      <xdr:colOff>376238</xdr:colOff>
      <xdr:row>91</xdr:row>
      <xdr:rowOff>19050</xdr:rowOff>
    </xdr:to>
    <xdr:grpSp>
      <xdr:nvGrpSpPr>
        <xdr:cNvPr id="2228" name="New_York"/>
        <xdr:cNvGrpSpPr/>
      </xdr:nvGrpSpPr>
      <xdr:grpSpPr>
        <a:xfrm>
          <a:off x="10777538" y="14044613"/>
          <a:ext cx="1114425" cy="842962"/>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18</xdr:col>
      <xdr:colOff>585788</xdr:colOff>
      <xdr:row>85</xdr:row>
      <xdr:rowOff>71438</xdr:rowOff>
    </xdr:from>
    <xdr:to>
      <xdr:col>19</xdr:col>
      <xdr:colOff>223838</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157163</xdr:colOff>
      <xdr:row>88</xdr:row>
      <xdr:rowOff>128588</xdr:rowOff>
    </xdr:from>
    <xdr:to>
      <xdr:col>19</xdr:col>
      <xdr:colOff>376238</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357188</xdr:colOff>
      <xdr:row>88</xdr:row>
      <xdr:rowOff>109538</xdr:rowOff>
    </xdr:from>
    <xdr:to>
      <xdr:col>19</xdr:col>
      <xdr:colOff>457200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123825</xdr:colOff>
      <xdr:row>87</xdr:row>
      <xdr:rowOff>85725</xdr:rowOff>
    </xdr:from>
    <xdr:to>
      <xdr:col>20</xdr:col>
      <xdr:colOff>0</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185738</xdr:colOff>
      <xdr:row>84</xdr:row>
      <xdr:rowOff>157163</xdr:rowOff>
    </xdr:from>
    <xdr:to>
      <xdr:col>19</xdr:col>
      <xdr:colOff>409575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223838</xdr:colOff>
      <xdr:row>81</xdr:row>
      <xdr:rowOff>133350</xdr:rowOff>
    </xdr:from>
    <xdr:to>
      <xdr:col>20</xdr:col>
      <xdr:colOff>133350</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G12" sqref="G12"/>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67</v>
      </c>
    </row>
    <row r="7" spans="3:10" x14ac:dyDescent="0.2">
      <c r="C7" t="s">
        <v>13</v>
      </c>
      <c r="D7" t="s">
        <v>14</v>
      </c>
    </row>
    <row r="8" spans="3:10" x14ac:dyDescent="0.2">
      <c r="C8" t="s">
        <v>15</v>
      </c>
      <c r="D8" s="4" t="s">
        <v>63</v>
      </c>
    </row>
    <row r="9" spans="3:10" x14ac:dyDescent="0.2">
      <c r="C9" s="4" t="s">
        <v>62</v>
      </c>
      <c r="D9" t="s">
        <v>16</v>
      </c>
    </row>
    <row r="15" spans="3:10" ht="18" x14ac:dyDescent="0.25">
      <c r="G15" s="1" t="s">
        <v>18</v>
      </c>
      <c r="H15" s="26"/>
      <c r="I15" s="27"/>
      <c r="J15" s="28"/>
    </row>
    <row r="16" spans="3:10" ht="18" x14ac:dyDescent="0.25">
      <c r="G16" s="1"/>
      <c r="H16" s="18"/>
      <c r="I16" s="18"/>
      <c r="J16" s="18"/>
    </row>
    <row r="17" spans="7:10" ht="18" x14ac:dyDescent="0.25">
      <c r="G17" s="1" t="s">
        <v>65</v>
      </c>
      <c r="H17" s="20">
        <v>2</v>
      </c>
      <c r="I17" s="19"/>
      <c r="J17" s="18"/>
    </row>
    <row r="18" spans="7:10" ht="18" x14ac:dyDescent="0.25">
      <c r="G18" s="1"/>
      <c r="H18" s="18"/>
      <c r="I18" s="19"/>
      <c r="J18" s="18"/>
    </row>
    <row r="19" spans="7:10" ht="18" x14ac:dyDescent="0.25">
      <c r="G19" s="1" t="s">
        <v>66</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15" sqref="A15"/>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19</v>
      </c>
      <c r="B1" s="2" t="s">
        <v>20</v>
      </c>
      <c r="C1" s="2" t="s">
        <v>21</v>
      </c>
      <c r="D1" s="2" t="s">
        <v>22</v>
      </c>
      <c r="E1" s="2" t="s">
        <v>23</v>
      </c>
      <c r="F1" s="2" t="s">
        <v>24</v>
      </c>
      <c r="G1" s="2" t="s">
        <v>25</v>
      </c>
      <c r="H1" s="2" t="s">
        <v>4</v>
      </c>
      <c r="I1" s="2" t="s">
        <v>26</v>
      </c>
      <c r="J1" s="2" t="s">
        <v>27</v>
      </c>
      <c r="K1" s="2" t="s">
        <v>5</v>
      </c>
      <c r="L1" s="2" t="s">
        <v>9</v>
      </c>
      <c r="M1" s="2" t="s">
        <v>6</v>
      </c>
      <c r="N1" s="2" t="s">
        <v>17</v>
      </c>
      <c r="O1" s="2" t="s">
        <v>7</v>
      </c>
      <c r="P1" s="2" t="s">
        <v>8</v>
      </c>
      <c r="Q1" s="2" t="s">
        <v>10</v>
      </c>
      <c r="R1" s="2" t="s">
        <v>11</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Normal="100" workbookViewId="0"/>
  </sheetViews>
  <sheetFormatPr defaultRowHeight="12.75" x14ac:dyDescent="0.2"/>
  <cols>
    <col min="7" max="7" width="7.28515625" customWidth="1"/>
    <col min="10" max="10" width="10" customWidth="1"/>
    <col min="21" max="21" width="6.140625" customWidth="1"/>
    <col min="22" max="22" width="1.5703125" customWidth="1"/>
    <col min="23" max="23" width="1.7109375" customWidth="1"/>
  </cols>
  <sheetData>
    <row r="1" spans="3:13" x14ac:dyDescent="0.2">
      <c r="C1" s="4" t="s">
        <v>54</v>
      </c>
      <c r="D1" s="4" t="str">
        <f ca="1">MID(CELL("filename"),SEARCH("[",CELL("filename"))+1, SEARCH("]",CELL("filename"))-SEARCH("[",CELL("filename"))-1)</f>
        <v>FullContact Email Enrichment - Template.xlsm</v>
      </c>
    </row>
    <row r="2" spans="3:13" x14ac:dyDescent="0.2">
      <c r="C2" s="4" t="s">
        <v>64</v>
      </c>
      <c r="D2">
        <v>1</v>
      </c>
      <c r="E2" s="4"/>
    </row>
    <row r="3" spans="3:13" x14ac:dyDescent="0.2">
      <c r="C3" s="3" t="s">
        <v>28</v>
      </c>
      <c r="D3">
        <f>COUNTIF(InputSheet!B:B,"200")</f>
        <v>0</v>
      </c>
      <c r="E3" s="7">
        <f>D3/D5</f>
        <v>0</v>
      </c>
    </row>
    <row r="4" spans="3:13" x14ac:dyDescent="0.2">
      <c r="C4" s="3" t="s">
        <v>29</v>
      </c>
      <c r="D4">
        <f>COUNTBLANK(InputSheet!A:A)</f>
        <v>1048575</v>
      </c>
    </row>
    <row r="5" spans="3:13" x14ac:dyDescent="0.2">
      <c r="C5" s="3" t="s">
        <v>30</v>
      </c>
      <c r="D5">
        <v>594</v>
      </c>
    </row>
    <row r="6" spans="3:13" x14ac:dyDescent="0.2">
      <c r="C6" s="3" t="s">
        <v>31</v>
      </c>
      <c r="J6" s="3"/>
    </row>
    <row r="7" spans="3:13" x14ac:dyDescent="0.2">
      <c r="C7" s="3" t="s">
        <v>32</v>
      </c>
      <c r="D7">
        <f>COUNTIF(InputSheet!B:B,"202")</f>
        <v>0</v>
      </c>
      <c r="E7" s="7">
        <f>D7/D5</f>
        <v>0</v>
      </c>
      <c r="J7" s="3"/>
    </row>
    <row r="8" spans="3:13" ht="18" x14ac:dyDescent="0.25">
      <c r="C8" s="3" t="s">
        <v>33</v>
      </c>
      <c r="D8">
        <f>COUNTIF(InputSheet!B:B,"422")</f>
        <v>0</v>
      </c>
      <c r="E8" s="17">
        <f>D8/D5</f>
        <v>0</v>
      </c>
      <c r="H8" s="15" t="str">
        <f ca="1">CONCATENATE("Results for ",D1)</f>
        <v>Results for FullContact Email Enrichment - Template.xlsm</v>
      </c>
      <c r="J8" s="3"/>
    </row>
    <row r="9" spans="3:13" x14ac:dyDescent="0.2">
      <c r="C9" s="5" t="s">
        <v>44</v>
      </c>
      <c r="D9">
        <v>2</v>
      </c>
    </row>
    <row r="10" spans="3:13" ht="13.5" thickBot="1" x14ac:dyDescent="0.25">
      <c r="C10" s="5" t="s">
        <v>45</v>
      </c>
      <c r="D10">
        <v>595</v>
      </c>
      <c r="E10" s="8">
        <f>D10/D5</f>
        <v>1.0016835016835017</v>
      </c>
    </row>
    <row r="11" spans="3:13" ht="13.5" thickBot="1" x14ac:dyDescent="0.25">
      <c r="H11" s="16"/>
      <c r="I11" s="16"/>
      <c r="J11" s="13"/>
      <c r="K11" s="13" t="s">
        <v>53</v>
      </c>
      <c r="L11" s="13" t="s">
        <v>55</v>
      </c>
      <c r="M11" s="16"/>
    </row>
    <row r="12" spans="3:13" x14ac:dyDescent="0.2">
      <c r="C12" s="6" t="s">
        <v>43</v>
      </c>
      <c r="D12">
        <f>IF(D2=1,COUNTA(InputSheet!E:E)-1,"")</f>
        <v>0</v>
      </c>
      <c r="E12" s="7">
        <f>D12/$D$5</f>
        <v>0</v>
      </c>
      <c r="H12" s="14" t="s">
        <v>56</v>
      </c>
      <c r="K12">
        <f>IF(D2=1,D5,"")</f>
        <v>594</v>
      </c>
    </row>
    <row r="13" spans="3:13" x14ac:dyDescent="0.2">
      <c r="C13" s="5" t="s">
        <v>24</v>
      </c>
      <c r="D13">
        <f>IF(D2=1,COUNTA(InputSheet!F:F)-1,"")</f>
        <v>0</v>
      </c>
      <c r="E13" s="7">
        <f t="shared" ref="E13:E24" si="0">D13/$D$5</f>
        <v>0</v>
      </c>
      <c r="H13" s="14" t="s">
        <v>49</v>
      </c>
      <c r="K13">
        <f>IF(D2=1,D3,"")</f>
        <v>0</v>
      </c>
      <c r="L13" s="7">
        <f>K13/K12</f>
        <v>0</v>
      </c>
    </row>
    <row r="14" spans="3:13" x14ac:dyDescent="0.2">
      <c r="C14" s="6" t="s">
        <v>25</v>
      </c>
      <c r="D14">
        <f>IF(D2=1,COUNTA(InputSheet!G:G)-1,"")</f>
        <v>0</v>
      </c>
      <c r="E14" s="7">
        <f t="shared" si="0"/>
        <v>0</v>
      </c>
      <c r="H14" s="14" t="s">
        <v>50</v>
      </c>
      <c r="K14">
        <f>IF(D2=1,D7,"")</f>
        <v>0</v>
      </c>
      <c r="L14" s="7">
        <f>K14/K12</f>
        <v>0</v>
      </c>
    </row>
    <row r="15" spans="3:13" x14ac:dyDescent="0.2">
      <c r="C15" s="6" t="s">
        <v>4</v>
      </c>
      <c r="D15">
        <f>IF(D2=1,COUNTA(InputSheet!H:H)-1,"")</f>
        <v>0</v>
      </c>
      <c r="E15" s="7">
        <f t="shared" si="0"/>
        <v>0</v>
      </c>
      <c r="H15" s="14" t="s">
        <v>51</v>
      </c>
      <c r="K15">
        <f>IF(D2=1,D8,"")</f>
        <v>0</v>
      </c>
      <c r="L15" s="7">
        <f>K15/K12</f>
        <v>0</v>
      </c>
    </row>
    <row r="16" spans="3:13" x14ac:dyDescent="0.2">
      <c r="C16" s="6" t="s">
        <v>26</v>
      </c>
      <c r="D16">
        <f>IF(D2=1,COUNTA(InputSheet!I:I)-1,"")</f>
        <v>0</v>
      </c>
      <c r="E16" s="7">
        <f t="shared" si="0"/>
        <v>0</v>
      </c>
    </row>
    <row r="17" spans="3:13" x14ac:dyDescent="0.2">
      <c r="C17" s="6" t="s">
        <v>27</v>
      </c>
      <c r="D17">
        <f>IF(D2=1,COUNTA(InputSheet!J:J)-1,"")</f>
        <v>0</v>
      </c>
      <c r="E17" s="7">
        <f t="shared" si="0"/>
        <v>0</v>
      </c>
    </row>
    <row r="18" spans="3:13" x14ac:dyDescent="0.2">
      <c r="C18" s="6" t="s">
        <v>47</v>
      </c>
      <c r="D18">
        <f>IF(D2=1,COUNTIF(InputSheet!L:L,"&gt;0"),"")</f>
        <v>0</v>
      </c>
      <c r="E18" s="7">
        <f t="shared" si="0"/>
        <v>0</v>
      </c>
      <c r="H18" s="2" t="s">
        <v>57</v>
      </c>
    </row>
    <row r="19" spans="3:13" ht="13.5" thickBot="1" x14ac:dyDescent="0.25">
      <c r="C19" s="6" t="s">
        <v>6</v>
      </c>
      <c r="D19">
        <f>IF(D2=1,COUNTA(InputSheet!M:M)-1,"")</f>
        <v>0</v>
      </c>
      <c r="E19" s="7">
        <f t="shared" si="0"/>
        <v>0</v>
      </c>
    </row>
    <row r="20" spans="3:13" ht="13.5" thickBot="1" x14ac:dyDescent="0.25">
      <c r="C20" s="6" t="s">
        <v>17</v>
      </c>
      <c r="D20">
        <f>IF(D2=1,COUNTA(InputSheet!N:N)-1,"")</f>
        <v>0</v>
      </c>
      <c r="E20" s="7">
        <f t="shared" si="0"/>
        <v>0</v>
      </c>
      <c r="H20" s="12"/>
      <c r="I20" s="12"/>
      <c r="J20" s="13" t="s">
        <v>59</v>
      </c>
      <c r="K20" s="13"/>
      <c r="L20" s="13" t="s">
        <v>60</v>
      </c>
      <c r="M20" s="12"/>
    </row>
    <row r="21" spans="3:13" x14ac:dyDescent="0.2">
      <c r="C21" s="6" t="s">
        <v>7</v>
      </c>
      <c r="D21">
        <f>IF(D2=1,COUNTA(InputSheet!O:O)-1,"")</f>
        <v>0</v>
      </c>
      <c r="E21" s="7">
        <f t="shared" si="0"/>
        <v>0</v>
      </c>
      <c r="J21" s="9" t="s">
        <v>58</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46</v>
      </c>
      <c r="D23">
        <f>IF(D2=1,COUNTA(InputSheet!Q:Q)-1,"")</f>
        <v>0</v>
      </c>
      <c r="E23" s="7">
        <f t="shared" si="0"/>
        <v>0</v>
      </c>
      <c r="H23" t="str">
        <f t="shared" si="1"/>
        <v>Age</v>
      </c>
      <c r="J23">
        <f t="shared" si="2"/>
        <v>0</v>
      </c>
      <c r="L23" s="10">
        <f t="shared" si="3"/>
        <v>0</v>
      </c>
    </row>
    <row r="24" spans="3:13" x14ac:dyDescent="0.2">
      <c r="C24" s="6" t="s">
        <v>48</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37</v>
      </c>
      <c r="E26" s="4" t="s">
        <v>35</v>
      </c>
      <c r="H26" t="str">
        <f t="shared" si="1"/>
        <v>Company</v>
      </c>
      <c r="J26">
        <f t="shared" si="2"/>
        <v>0</v>
      </c>
      <c r="L26" s="10">
        <f t="shared" si="3"/>
        <v>0</v>
      </c>
    </row>
    <row r="27" spans="3:13" x14ac:dyDescent="0.2">
      <c r="C27" s="6" t="s">
        <v>25</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24</v>
      </c>
      <c r="D32" s="4" t="s">
        <v>41</v>
      </c>
      <c r="E32">
        <f>IF($D$2=1,COUNTIF(InputSheet!F:F,Statistics!D32),"")</f>
        <v>0</v>
      </c>
      <c r="H32" t="str">
        <f t="shared" si="1"/>
        <v>MySpace</v>
      </c>
      <c r="J32">
        <f t="shared" si="2"/>
        <v>0</v>
      </c>
      <c r="L32" s="10">
        <f t="shared" si="3"/>
        <v>0</v>
      </c>
    </row>
    <row r="33" spans="4:13" x14ac:dyDescent="0.2">
      <c r="D33" s="4" t="s">
        <v>42</v>
      </c>
      <c r="E33">
        <f>IF($D$2=1,COUNTIF(InputSheet!F:F,Statistics!D33),"")</f>
        <v>0</v>
      </c>
      <c r="H33" t="str">
        <f t="shared" si="1"/>
        <v>Other Url</v>
      </c>
      <c r="J33">
        <f t="shared" si="2"/>
        <v>0</v>
      </c>
      <c r="L33" s="10">
        <f t="shared" si="3"/>
        <v>0</v>
      </c>
    </row>
    <row r="34" spans="4:13" x14ac:dyDescent="0.2">
      <c r="D34" t="s">
        <v>40</v>
      </c>
      <c r="E34">
        <f>IF($D$2=1,COUNTIF(InputSheet!F:F,Statistics!D34),"")</f>
        <v>0</v>
      </c>
      <c r="H34" t="str">
        <f t="shared" si="1"/>
        <v>Url Present</v>
      </c>
      <c r="J34">
        <f t="shared" si="2"/>
        <v>0</v>
      </c>
      <c r="L34" s="10">
        <f t="shared" si="3"/>
        <v>0</v>
      </c>
    </row>
    <row r="35" spans="4:13" ht="13.5" thickBot="1" x14ac:dyDescent="0.25">
      <c r="D35" t="s">
        <v>36</v>
      </c>
      <c r="E35">
        <f>IF($D$2=1,COUNTIF(InputSheet!F:F,Statistics!D35),"")</f>
        <v>0</v>
      </c>
    </row>
    <row r="36" spans="4:13" ht="14.25" thickTop="1" thickBot="1" x14ac:dyDescent="0.25">
      <c r="D36" t="s">
        <v>38</v>
      </c>
      <c r="E36">
        <f>IF($D$2=1,COUNTIF(InputSheet!F:F,Statistics!D36),"")</f>
        <v>0</v>
      </c>
      <c r="H36" s="11"/>
      <c r="I36" s="11"/>
      <c r="J36" s="11"/>
      <c r="K36" s="11"/>
      <c r="L36" s="11"/>
      <c r="M36" s="11"/>
    </row>
    <row r="37" spans="4:13" x14ac:dyDescent="0.2">
      <c r="D37" t="s">
        <v>34</v>
      </c>
      <c r="E37">
        <f>IF($D$2=1,COUNTIF(InputSheet!F:F,Statistics!D37),"")</f>
        <v>0</v>
      </c>
    </row>
    <row r="38" spans="4:13" x14ac:dyDescent="0.2">
      <c r="D38" t="s">
        <v>39</v>
      </c>
      <c r="E38">
        <f>IF($D$2=1,COUNTIF(InputSheet!F:F,Statistics!D38),"")</f>
        <v>0</v>
      </c>
    </row>
    <row r="39" spans="4:13" x14ac:dyDescent="0.2">
      <c r="D39" s="4" t="s">
        <v>52</v>
      </c>
      <c r="E39">
        <f>SUM(E32:E38)</f>
        <v>0</v>
      </c>
    </row>
    <row r="43" spans="4:13" x14ac:dyDescent="0.2">
      <c r="D43" s="4" t="s">
        <v>61</v>
      </c>
      <c r="E43" s="8" t="e">
        <f>(E32+E33)/E39</f>
        <v>#DIV/0!</v>
      </c>
    </row>
    <row r="44" spans="4:13" x14ac:dyDescent="0.2">
      <c r="D44" s="4" t="s">
        <v>40</v>
      </c>
      <c r="E44" s="8" t="e">
        <f>E34/$E$39</f>
        <v>#DIV/0!</v>
      </c>
    </row>
    <row r="45" spans="4:13" x14ac:dyDescent="0.2">
      <c r="D45" s="4" t="s">
        <v>36</v>
      </c>
      <c r="E45" s="8" t="e">
        <f t="shared" ref="E45:E48" si="4">E35/$E$39</f>
        <v>#DIV/0!</v>
      </c>
    </row>
    <row r="46" spans="4:13" x14ac:dyDescent="0.2">
      <c r="D46" s="4" t="s">
        <v>38</v>
      </c>
      <c r="E46" s="8" t="e">
        <f t="shared" si="4"/>
        <v>#DIV/0!</v>
      </c>
    </row>
    <row r="47" spans="4:13" x14ac:dyDescent="0.2">
      <c r="D47" s="4" t="s">
        <v>34</v>
      </c>
      <c r="E47" s="8" t="e">
        <f t="shared" si="4"/>
        <v>#DIV/0!</v>
      </c>
    </row>
    <row r="48" spans="4:13" x14ac:dyDescent="0.2">
      <c r="D48" s="4" t="s">
        <v>39</v>
      </c>
      <c r="E48" s="8" t="e">
        <f t="shared" si="4"/>
        <v>#DIV/0!</v>
      </c>
    </row>
    <row r="51" spans="2:3" x14ac:dyDescent="0.2">
      <c r="B51" s="2" t="s">
        <v>77</v>
      </c>
      <c r="C51" s="2" t="s">
        <v>53</v>
      </c>
    </row>
    <row r="52" spans="2:3" x14ac:dyDescent="0.2">
      <c r="B52" t="s">
        <v>78</v>
      </c>
      <c r="C52">
        <f>COUNTIF(InputSheet!H:H,"*Alabama*")</f>
        <v>0</v>
      </c>
    </row>
    <row r="53" spans="2:3" x14ac:dyDescent="0.2">
      <c r="B53" t="s">
        <v>79</v>
      </c>
      <c r="C53">
        <f>COUNTIF(InputSheet!H:H,"*Alaska*")</f>
        <v>0</v>
      </c>
    </row>
    <row r="54" spans="2:3" x14ac:dyDescent="0.2">
      <c r="B54" t="s">
        <v>80</v>
      </c>
      <c r="C54">
        <f>COUNTIF(InputSheet!H:H,"*Arizona*")</f>
        <v>0</v>
      </c>
    </row>
    <row r="55" spans="2:3" x14ac:dyDescent="0.2">
      <c r="B55" t="s">
        <v>81</v>
      </c>
      <c r="C55">
        <f>COUNTIF(InputSheet!H:H,"*Arkansas*")</f>
        <v>0</v>
      </c>
    </row>
    <row r="56" spans="2:3" x14ac:dyDescent="0.2">
      <c r="B56" t="s">
        <v>82</v>
      </c>
      <c r="C56">
        <f>COUNTIF(InputSheet!H:H,"*California*")</f>
        <v>0</v>
      </c>
    </row>
    <row r="57" spans="2:3" x14ac:dyDescent="0.2">
      <c r="B57" t="s">
        <v>83</v>
      </c>
      <c r="C57">
        <f>COUNTIF(InputSheet!H:H,"*Colorado*")</f>
        <v>0</v>
      </c>
    </row>
    <row r="58" spans="2:3" x14ac:dyDescent="0.2">
      <c r="B58" t="s">
        <v>84</v>
      </c>
      <c r="C58">
        <f>COUNTIF(InputSheet!H:H,"*Connecticut*")</f>
        <v>0</v>
      </c>
    </row>
    <row r="59" spans="2:3" x14ac:dyDescent="0.2">
      <c r="B59" t="s">
        <v>85</v>
      </c>
      <c r="C59">
        <f>COUNTIF(InputSheet!H:H,"*Delaware*")</f>
        <v>0</v>
      </c>
    </row>
    <row r="60" spans="2:3" x14ac:dyDescent="0.2">
      <c r="B60" t="s">
        <v>86</v>
      </c>
      <c r="C60">
        <f>COUNTIF(InputSheet!H:H,"*Florida*")</f>
        <v>0</v>
      </c>
    </row>
    <row r="61" spans="2:3" x14ac:dyDescent="0.2">
      <c r="B61" s="4" t="s">
        <v>87</v>
      </c>
      <c r="C61">
        <f>COUNTIF(InputSheet!H:H,"*Georgia*")</f>
        <v>0</v>
      </c>
    </row>
    <row r="62" spans="2:3" x14ac:dyDescent="0.2">
      <c r="B62" s="4" t="s">
        <v>88</v>
      </c>
      <c r="C62">
        <f>COUNTIF(InputSheet!H:H,"*Hawaii*")</f>
        <v>0</v>
      </c>
    </row>
    <row r="63" spans="2:3" x14ac:dyDescent="0.2">
      <c r="B63" s="4" t="s">
        <v>89</v>
      </c>
      <c r="C63">
        <f>COUNTIF(InputSheet!H:H,"*Idaho*")</f>
        <v>0</v>
      </c>
    </row>
    <row r="64" spans="2:3" x14ac:dyDescent="0.2">
      <c r="B64" s="4" t="s">
        <v>90</v>
      </c>
      <c r="C64">
        <f>COUNTIF(InputSheet!H:H,"*Illinois*")</f>
        <v>0</v>
      </c>
    </row>
    <row r="65" spans="2:3" x14ac:dyDescent="0.2">
      <c r="B65" s="4" t="s">
        <v>91</v>
      </c>
      <c r="C65">
        <f>COUNTIF(InputSheet!H:H,"*Indiana*")</f>
        <v>0</v>
      </c>
    </row>
    <row r="66" spans="2:3" x14ac:dyDescent="0.2">
      <c r="B66" s="4" t="s">
        <v>92</v>
      </c>
      <c r="C66">
        <f>COUNTIF(InputSheet!H:H,"*Iowa*")</f>
        <v>0</v>
      </c>
    </row>
    <row r="67" spans="2:3" x14ac:dyDescent="0.2">
      <c r="B67" s="4" t="s">
        <v>93</v>
      </c>
      <c r="C67">
        <f>COUNTIF(InputSheet!H:H,"*Kansas*")</f>
        <v>0</v>
      </c>
    </row>
    <row r="68" spans="2:3" x14ac:dyDescent="0.2">
      <c r="B68" s="4" t="s">
        <v>94</v>
      </c>
      <c r="C68">
        <f>COUNTIF(InputSheet!H:H,"*Kentucky*")</f>
        <v>0</v>
      </c>
    </row>
    <row r="69" spans="2:3" x14ac:dyDescent="0.2">
      <c r="B69" s="4" t="s">
        <v>95</v>
      </c>
      <c r="C69">
        <f>COUNTIF(InputSheet!H:H,"*Louisiana*")</f>
        <v>0</v>
      </c>
    </row>
    <row r="70" spans="2:3" x14ac:dyDescent="0.2">
      <c r="B70" s="4" t="s">
        <v>96</v>
      </c>
      <c r="C70">
        <f>COUNTIF(InputSheet!H:H,"*Maine*")</f>
        <v>0</v>
      </c>
    </row>
    <row r="71" spans="2:3" x14ac:dyDescent="0.2">
      <c r="B71" s="4" t="s">
        <v>97</v>
      </c>
      <c r="C71">
        <f>COUNTIF(InputSheet!H:H,"*Maryland*")</f>
        <v>0</v>
      </c>
    </row>
    <row r="72" spans="2:3" x14ac:dyDescent="0.2">
      <c r="B72" s="4" t="s">
        <v>98</v>
      </c>
      <c r="C72">
        <f>COUNTIF(InputSheet!H:H,"*Massachusetts*")</f>
        <v>0</v>
      </c>
    </row>
    <row r="73" spans="2:3" x14ac:dyDescent="0.2">
      <c r="B73" s="4" t="s">
        <v>99</v>
      </c>
      <c r="C73">
        <f>COUNTIF(InputSheet!H:H,"*Michigan*")</f>
        <v>0</v>
      </c>
    </row>
    <row r="74" spans="2:3" x14ac:dyDescent="0.2">
      <c r="B74" s="4" t="s">
        <v>100</v>
      </c>
      <c r="C74">
        <f>COUNTIF(InputSheet!H:H,"*Minnesota*")</f>
        <v>0</v>
      </c>
    </row>
    <row r="75" spans="2:3" x14ac:dyDescent="0.2">
      <c r="B75" s="4" t="s">
        <v>101</v>
      </c>
      <c r="C75">
        <f>COUNTIF(InputSheet!H:H,"*Mississippi*")</f>
        <v>0</v>
      </c>
    </row>
    <row r="76" spans="2:3" x14ac:dyDescent="0.2">
      <c r="B76" s="4" t="s">
        <v>102</v>
      </c>
      <c r="C76">
        <f>COUNTIF(InputSheet!H:H,"*Missouri*")</f>
        <v>0</v>
      </c>
    </row>
    <row r="77" spans="2:3" x14ac:dyDescent="0.2">
      <c r="B77" s="4" t="s">
        <v>103</v>
      </c>
      <c r="C77">
        <f>COUNTIF(InputSheet!H:H,"*Montana*")</f>
        <v>0</v>
      </c>
    </row>
    <row r="78" spans="2:3" x14ac:dyDescent="0.2">
      <c r="B78" s="4" t="s">
        <v>104</v>
      </c>
      <c r="C78">
        <f>COUNTIF(InputSheet!H:H,"*Nebraska*")</f>
        <v>0</v>
      </c>
    </row>
    <row r="79" spans="2:3" x14ac:dyDescent="0.2">
      <c r="B79" s="4" t="s">
        <v>105</v>
      </c>
      <c r="C79">
        <f>COUNTIF(InputSheet!H:H,"*Nevada*")</f>
        <v>0</v>
      </c>
    </row>
    <row r="80" spans="2:3" x14ac:dyDescent="0.2">
      <c r="B80" s="4" t="s">
        <v>118</v>
      </c>
      <c r="C80">
        <f>COUNTIF(InputSheet!H:H,"*New Hampshire*")</f>
        <v>0</v>
      </c>
    </row>
    <row r="81" spans="2:3" x14ac:dyDescent="0.2">
      <c r="B81" s="4" t="s">
        <v>119</v>
      </c>
      <c r="C81">
        <f>COUNTIF(InputSheet!H:H,"*New Jersey*")</f>
        <v>0</v>
      </c>
    </row>
    <row r="82" spans="2:3" x14ac:dyDescent="0.2">
      <c r="B82" s="4" t="s">
        <v>120</v>
      </c>
      <c r="C82">
        <f>COUNTIF(InputSheet!H:H,"*New Mexico*")</f>
        <v>0</v>
      </c>
    </row>
    <row r="83" spans="2:3" x14ac:dyDescent="0.2">
      <c r="B83" s="4" t="s">
        <v>121</v>
      </c>
      <c r="C83">
        <f>COUNTIF(InputSheet!H:H,"*New York*")</f>
        <v>0</v>
      </c>
    </row>
    <row r="84" spans="2:3" x14ac:dyDescent="0.2">
      <c r="B84" s="4" t="s">
        <v>122</v>
      </c>
      <c r="C84">
        <f>COUNTIF(InputSheet!H:H,"*North Carolina*")</f>
        <v>0</v>
      </c>
    </row>
    <row r="85" spans="2:3" x14ac:dyDescent="0.2">
      <c r="B85" s="4" t="s">
        <v>123</v>
      </c>
      <c r="C85">
        <f>COUNTIF(InputSheet!H:H,"*North Dakota*")</f>
        <v>0</v>
      </c>
    </row>
    <row r="86" spans="2:3" x14ac:dyDescent="0.2">
      <c r="B86" s="4" t="s">
        <v>106</v>
      </c>
      <c r="C86">
        <f>COUNTIF(InputSheet!H:H,"*Ohio*")</f>
        <v>0</v>
      </c>
    </row>
    <row r="87" spans="2:3" x14ac:dyDescent="0.2">
      <c r="B87" s="4" t="s">
        <v>107</v>
      </c>
      <c r="C87">
        <f>COUNTIF(InputSheet!H:H,"*Oklahoma*")</f>
        <v>0</v>
      </c>
    </row>
    <row r="88" spans="2:3" x14ac:dyDescent="0.2">
      <c r="B88" s="4" t="s">
        <v>108</v>
      </c>
      <c r="C88">
        <f>COUNTIF(InputSheet!H:H,"*Oregon*")</f>
        <v>0</v>
      </c>
    </row>
    <row r="89" spans="2:3" x14ac:dyDescent="0.2">
      <c r="B89" s="4" t="s">
        <v>109</v>
      </c>
      <c r="C89">
        <f>COUNTIF(InputSheet!H:H,"*Pennsylvania*")</f>
        <v>0</v>
      </c>
    </row>
    <row r="90" spans="2:3" x14ac:dyDescent="0.2">
      <c r="B90" s="4" t="s">
        <v>124</v>
      </c>
      <c r="C90">
        <f>COUNTIF(InputSheet!H:H,"*Rhode Island*")</f>
        <v>0</v>
      </c>
    </row>
    <row r="91" spans="2:3" x14ac:dyDescent="0.2">
      <c r="B91" s="4" t="s">
        <v>125</v>
      </c>
      <c r="C91">
        <f>COUNTIF(InputSheet!H:H,"*South Carolina*")</f>
        <v>0</v>
      </c>
    </row>
    <row r="92" spans="2:3" x14ac:dyDescent="0.2">
      <c r="B92" s="4" t="s">
        <v>126</v>
      </c>
      <c r="C92">
        <f>COUNTIF(InputSheet!H:H,"*South Dakota*")</f>
        <v>0</v>
      </c>
    </row>
    <row r="93" spans="2:3" x14ac:dyDescent="0.2">
      <c r="B93" s="4" t="s">
        <v>110</v>
      </c>
      <c r="C93">
        <f>COUNTIF(InputSheet!H:H,"*Tennessee*")</f>
        <v>0</v>
      </c>
    </row>
    <row r="94" spans="2:3" x14ac:dyDescent="0.2">
      <c r="B94" s="4" t="s">
        <v>111</v>
      </c>
      <c r="C94">
        <f>COUNTIF(InputSheet!H:H,"*Texas*")</f>
        <v>0</v>
      </c>
    </row>
    <row r="95" spans="2:3" x14ac:dyDescent="0.2">
      <c r="B95" s="4" t="s">
        <v>112</v>
      </c>
      <c r="C95">
        <f>COUNTIF(InputSheet!H:H,"*Utah*")</f>
        <v>0</v>
      </c>
    </row>
    <row r="96" spans="2:3" x14ac:dyDescent="0.2">
      <c r="B96" s="4" t="s">
        <v>113</v>
      </c>
      <c r="C96">
        <f>COUNTIF(InputSheet!H:H,"*Vermont*")</f>
        <v>0</v>
      </c>
    </row>
    <row r="97" spans="2:22" x14ac:dyDescent="0.2">
      <c r="B97" s="4" t="s">
        <v>114</v>
      </c>
      <c r="C97">
        <f>COUNTIF(InputSheet!H:H,"*Virginia*")</f>
        <v>0</v>
      </c>
    </row>
    <row r="98" spans="2:22" x14ac:dyDescent="0.2">
      <c r="B98" s="4" t="s">
        <v>115</v>
      </c>
      <c r="C98">
        <f>COUNTIF(InputSheet!H:H,"*Washington*")</f>
        <v>0</v>
      </c>
    </row>
    <row r="99" spans="2:22" x14ac:dyDescent="0.2">
      <c r="B99" s="4" t="s">
        <v>127</v>
      </c>
      <c r="C99">
        <f>COUNTIF(InputSheet!H:H,"*West Virginia*")</f>
        <v>0</v>
      </c>
    </row>
    <row r="100" spans="2:22" x14ac:dyDescent="0.2">
      <c r="B100" s="4" t="s">
        <v>116</v>
      </c>
      <c r="C100">
        <f>COUNTIF(InputSheet!H:H,"*Wisconsin*")</f>
        <v>0</v>
      </c>
    </row>
    <row r="101" spans="2:22" x14ac:dyDescent="0.2">
      <c r="B101" s="4" t="s">
        <v>117</v>
      </c>
      <c r="C101">
        <f>COUNTIF(InputSheet!H:H,"*Wyoming*")</f>
        <v>0</v>
      </c>
    </row>
    <row r="105" spans="2:22" x14ac:dyDescent="0.2">
      <c r="C105" s="4" t="s">
        <v>141</v>
      </c>
      <c r="D105" s="4" t="s">
        <v>117</v>
      </c>
      <c r="E105" s="4" t="s">
        <v>133</v>
      </c>
    </row>
    <row r="106" spans="2:22" x14ac:dyDescent="0.2">
      <c r="C106" s="4" t="s">
        <v>142</v>
      </c>
      <c r="D106" s="29">
        <f>VLOOKUP(actReg,regData,2,FALSE)</f>
        <v>0</v>
      </c>
      <c r="E106" s="4" t="s">
        <v>135</v>
      </c>
    </row>
    <row r="107" spans="2:22" x14ac:dyDescent="0.2">
      <c r="C107" s="4" t="s">
        <v>139</v>
      </c>
      <c r="D107" s="4" t="str">
        <f>VLOOKUP(actRegValue,classValues,2,TRUE)</f>
        <v>class5</v>
      </c>
      <c r="E107" s="4" t="s">
        <v>134</v>
      </c>
    </row>
    <row r="110" spans="2:22" x14ac:dyDescent="0.2">
      <c r="U110" s="30" t="s">
        <v>136</v>
      </c>
      <c r="V110" s="30"/>
    </row>
    <row r="111" spans="2:22" x14ac:dyDescent="0.2">
      <c r="C111">
        <v>0</v>
      </c>
      <c r="D111" s="4" t="s">
        <v>137</v>
      </c>
      <c r="U111" s="31" t="str">
        <f>CONCATENATE(C111,"-",C112-1)</f>
        <v>0--1</v>
      </c>
    </row>
    <row r="112" spans="2:22" x14ac:dyDescent="0.2">
      <c r="C112">
        <f>ROUNDUP((MAX($C$52:$C$101)*0.1167),0)</f>
        <v>0</v>
      </c>
      <c r="D112" s="4" t="s">
        <v>128</v>
      </c>
      <c r="U112" s="31" t="str">
        <f>CONCATENATE(C112,"-",C113-1)</f>
        <v>0--1</v>
      </c>
      <c r="V112" s="25"/>
    </row>
    <row r="113" spans="3:22" x14ac:dyDescent="0.2">
      <c r="C113">
        <f>ROUNDUP((MAX($C$52:$C$101)*0.334),0)</f>
        <v>0</v>
      </c>
      <c r="D113" s="4" t="s">
        <v>129</v>
      </c>
      <c r="U113" s="31" t="str">
        <f>CONCATENATE(C113,"-",C114-1)</f>
        <v>0--1</v>
      </c>
      <c r="V113" s="23"/>
    </row>
    <row r="114" spans="3:22" x14ac:dyDescent="0.2">
      <c r="C114">
        <f>ROUNDUP((MAX($C$52:$C$101)*0.5),0)</f>
        <v>0</v>
      </c>
      <c r="D114" s="4" t="s">
        <v>130</v>
      </c>
      <c r="U114" s="31" t="str">
        <f>CONCATENATE(C114,"-",C115-1)</f>
        <v>0--1</v>
      </c>
      <c r="V114" s="24"/>
    </row>
    <row r="115" spans="3:22" x14ac:dyDescent="0.2">
      <c r="C115">
        <f>ROUNDUP((MAX($C$52:$C$101)*0.667),0)</f>
        <v>0</v>
      </c>
      <c r="D115" s="4" t="s">
        <v>131</v>
      </c>
      <c r="U115" s="31" t="str">
        <f>CONCATENATE(C115,"-",C116-1)</f>
        <v>0--1</v>
      </c>
      <c r="V115" s="22"/>
    </row>
    <row r="116" spans="3:22" x14ac:dyDescent="0.2">
      <c r="C116">
        <f>ROUNDUP((MAX($C$52:$C$101)*0.833),0)</f>
        <v>0</v>
      </c>
      <c r="D116" s="4" t="s">
        <v>132</v>
      </c>
      <c r="U116" s="31" t="str">
        <f>CONCATENATE(C116,"+")</f>
        <v>0+</v>
      </c>
      <c r="V116" s="21"/>
    </row>
    <row r="117" spans="3:22" ht="18" x14ac:dyDescent="0.25">
      <c r="K117" s="15" t="s">
        <v>138</v>
      </c>
    </row>
    <row r="118" spans="3:22" x14ac:dyDescent="0.2">
      <c r="F118" s="6" t="s">
        <v>140</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C13" sqref="C13"/>
    </sheetView>
  </sheetViews>
  <sheetFormatPr defaultRowHeight="12.75" x14ac:dyDescent="0.2"/>
  <cols>
    <col min="1" max="1" width="3.28515625" customWidth="1"/>
  </cols>
  <sheetData>
    <row r="2" spans="1:2" x14ac:dyDescent="0.2">
      <c r="A2" s="2" t="s">
        <v>68</v>
      </c>
    </row>
    <row r="3" spans="1:2" x14ac:dyDescent="0.2">
      <c r="B3" s="4" t="s">
        <v>75</v>
      </c>
    </row>
    <row r="4" spans="1:2" x14ac:dyDescent="0.2">
      <c r="B4" s="4" t="s">
        <v>69</v>
      </c>
    </row>
    <row r="5" spans="1:2" x14ac:dyDescent="0.2">
      <c r="B5" s="4" t="s">
        <v>71</v>
      </c>
    </row>
    <row r="6" spans="1:2" x14ac:dyDescent="0.2">
      <c r="B6" s="4" t="s">
        <v>72</v>
      </c>
    </row>
    <row r="7" spans="1:2" x14ac:dyDescent="0.2">
      <c r="B7" s="4" t="s">
        <v>74</v>
      </c>
    </row>
    <row r="8" spans="1:2" x14ac:dyDescent="0.2">
      <c r="B8" s="4" t="s">
        <v>73</v>
      </c>
    </row>
    <row r="9" spans="1:2" x14ac:dyDescent="0.2">
      <c r="B9" s="4" t="s">
        <v>70</v>
      </c>
    </row>
    <row r="10" spans="1:2" x14ac:dyDescent="0.2">
      <c r="B10" s="4"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2011-12-07T17:29:05Z</cp:lastPrinted>
  <dcterms:created xsi:type="dcterms:W3CDTF">2011-11-06T04:09:30Z</dcterms:created>
  <dcterms:modified xsi:type="dcterms:W3CDTF">2011-12-07T17:35:23Z</dcterms:modified>
</cp:coreProperties>
</file>