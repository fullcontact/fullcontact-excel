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bookViews>
  <sheets>
    <sheet name="Begin" sheetId="1" r:id="rId1"/>
    <sheet name="InputSheet" sheetId="2" r:id="rId2"/>
    <sheet name="Statistics" sheetId="3" r:id="rId3"/>
    <sheet name="ReadMe" sheetId="4" r:id="rId4"/>
  </sheets>
  <functionGroups builtInGroupCount="17"/>
  <definedNames>
    <definedName name="Delay_between_Passes">Begin!$H$19</definedName>
    <definedName name="fc_api_key">Begin!$H$15</definedName>
    <definedName name="fckey">Begin!$H$15</definedName>
    <definedName name="Number_of_Seeding_Passes">Begin!$H$17</definedName>
    <definedName name="_xlnm.Print_Area" localSheetId="2">Statistics!$G$3:$U$60</definedName>
  </definedNames>
  <calcPr calcId="145621"/>
</workbook>
</file>

<file path=xl/calcChain.xml><?xml version="1.0" encoding="utf-8"?>
<calcChain xmlns="http://schemas.openxmlformats.org/spreadsheetml/2006/main">
  <c r="E10" i="3" l="1"/>
  <c r="E33" i="3" l="1"/>
  <c r="E34" i="3"/>
  <c r="E35" i="3"/>
  <c r="E36" i="3"/>
  <c r="E37" i="3"/>
  <c r="E38" i="3"/>
  <c r="E32" i="3"/>
  <c r="E27" i="3"/>
  <c r="D27" i="3"/>
  <c r="D24" i="3"/>
  <c r="D23" i="3"/>
  <c r="D22" i="3"/>
  <c r="D21" i="3"/>
  <c r="D20" i="3"/>
  <c r="D19" i="3"/>
  <c r="D18" i="3"/>
  <c r="D17" i="3"/>
  <c r="D16" i="3"/>
  <c r="D15" i="3"/>
  <c r="D14" i="3"/>
  <c r="D13" i="3"/>
  <c r="D12" i="3"/>
  <c r="K12" i="3"/>
  <c r="D8" i="3" l="1"/>
  <c r="K15" i="3" s="1"/>
  <c r="D7" i="3"/>
  <c r="K14" i="3" s="1"/>
  <c r="D4" i="3"/>
  <c r="D3" i="3"/>
  <c r="K13" i="3" s="1"/>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<sst xmlns="http://schemas.openxmlformats.org/spreadsheetml/2006/main" count="92" uniqueCount="76">
  <si>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</si>
  <si>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</si>
  <si>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</si>
  <si>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</si>
  <si>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</si>
  <si>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</si>
  <si>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</si>
  <si>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</si>
  <si>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</si>
  <si>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</si>
  <si>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</si>
  <si>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</si>
  <si>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</si>
  <si>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</si>
  <si>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</si>
  <si>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</si>
  <si>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Export the results to csv.</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</si>
  <si>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</si>
  <si>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</si>
  <si>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</si>
  <si>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</si>
  <si>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</si>
  <si>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</si>
  <si>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</si>
  <si>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</si>
  <si>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</si>
  <si>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</si>
  <si>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</si>
  <si>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</si>
  <si>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</si>
  <si>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</si>
  <si>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</si>
  <si>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</si>
  <si>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</si>
  <si>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</si>
  <si>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</si>
  <si>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</si>
  <si>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</si>
  <si>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</si>
  <si>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</si>
  <si>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</si>
  <si>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</si>
  <si>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</si>
  <si>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</si>
  <si>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</si>
  <si>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</si>
  <si>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</si>
  <si>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</si>
  <si>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</si>
  <si>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</si>
  <si>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</si>
  <si>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</si>
  <si>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</si>
  <si>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</si>
  <si>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</si>
  <si>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</si>
  <si>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</si>
  <si>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</si>
  <si>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</si>
  <si>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</si>
  <si>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</si>
  <si>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</si>
  <si>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</si>
  <si>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</si>
  <si>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</si>
  <si>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</si>
  <si>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</si>
  <si>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</si>
  <si>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</si>
  <si>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</si>
  <si>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This has only been tested on Excel 2010.</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</si>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</sst>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s>
  <fills count="4">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2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54688384"/>
        <c:axId val="54694272"/>
      </c:barChart>
      <c:catAx>
        <c:axId val="54688384"/>
        <c:scaling>
          <c:orientation val="minMax"/>
        </c:scaling>
        <c:delete val="0"/>
        <c:axPos val="l"/>
        <c:majorTickMark val="out"/>
        <c:minorTickMark val="none"/>
        <c:tickLblPos val="nextTo"/>
        <c:crossAx val="54694272"/>
        <c:crosses val="autoZero"/>
        <c:auto val="1"/>
        <c:lblAlgn val="ctr"/>
        <c:lblOffset val="100"/>
        <c:noMultiLvlLbl val="0"/>
      </c:catAx>
      <c:valAx>
        <c:axId val="54694272"/>
        <c:scaling>
          <c:orientation val="minMax"/>
        </c:scaling>
        <c:delete val="0"/>
        <c:axPos val="b"/>
        <c:majorGridlines/>
        <c:numFmt formatCode="0%" sourceLinked="0"/>
        <c:majorTickMark val="out"/>
        <c:minorTickMark val="none"/>
        <c:tickLblPos val="nextTo"/>
        <c:crossAx val="5468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01878400"/>
        <c:axId val="54858112"/>
      </c:barChart>
      <c:catAx>
        <c:axId val="101878400"/>
        <c:scaling>
          <c:orientation val="minMax"/>
        </c:scaling>
        <c:delete val="0"/>
        <c:axPos val="b"/>
        <c:majorTickMark val="out"/>
        <c:minorTickMark val="none"/>
        <c:tickLblPos val="nextTo"/>
        <c:crossAx val="54858112"/>
        <c:crosses val="autoZero"/>
        <c:auto val="1"/>
        <c:lblAlgn val="ctr"/>
        <c:lblOffset val="100"/>
        <c:noMultiLvlLbl val="0"/>
      </c:catAx>
      <c:valAx>
        <c:axId val="54858112"/>
        <c:scaling>
          <c:orientation val="minMax"/>
        </c:scaling>
        <c:delete val="0"/>
        <c:axPos val="l"/>
        <c:majorGridlines/>
        <c:numFmt formatCode="0.0%" sourceLinked="1"/>
        <c:majorTickMark val="out"/>
        <c:minorTickMark val="none"/>
        <c:tickLblPos val="nextTo"/>
        <c:crossAx val="10187840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19"/>
  <sheetViews>
    <sheetView showGridLines="0" tabSelected="1" workbookViewId="0">
      <selection activeCell="D10" sqref="D10"/>
    </sheetView>
  </sheetViews>
  <sheetFormatPr defaultRowHeight="12.75" x14ac:dyDescent="0.2"/>
  <sheetData>
    <row r="4" spans="3:10" x14ac:dyDescent="0.2">
      <c r="C4" t="s">
        <v>0</v>
      </c>
      <c r="D4" t="s">
        <v>12</v>
      </c>
    </row>
    <row r="5" spans="3:10" x14ac:dyDescent="0.2">
      <c r="C5" t="s">
        <v>1</v>
      </c>
      <c r="D5" t="s">
        <v>2</v>
      </c>
    </row>
    <row r="6" spans="3:10" x14ac:dyDescent="0.2">
      <c r="C6" t="s">
        <v>3</v>
      </c>
      <c r="D6" s="4" t="s">
        <v>67</v>
      </c>
    </row>
    <row r="7" spans="3:10" x14ac:dyDescent="0.2">
      <c r="C7" t="s">
        <v>13</v>
      </c>
      <c r="D7" t="s">
        <v>14</v>
      </c>
    </row>
    <row r="8" spans="3:10" x14ac:dyDescent="0.2">
      <c r="C8" t="s">
        <v>15</v>
      </c>
      <c r="D8" s="4" t="s">
        <v>63</v>
      </c>
    </row>
    <row r="9" spans="3:10" x14ac:dyDescent="0.2">
      <c r="C9" s="4" t="s">
        <v>62</v>
      </c>
      <c r="D9" t="s">
        <v>16</v>
      </c>
    </row>
    <row r="15" spans="3:10" ht="18" x14ac:dyDescent="0.25">
      <c r="G15" s="1" t="s">
        <v>18</v>
      </c>
      <c r="H15" s="21"/>
      <c r="I15" s="22"/>
      <c r="J15" s="23"/>
    </row>
    <row r="16" spans="3:10" ht="18" x14ac:dyDescent="0.25">
      <c r="G16" s="1"/>
      <c r="H16" s="18"/>
      <c r="I16" s="18"/>
      <c r="J16" s="18"/>
    </row>
    <row r="17" spans="7:10" ht="18" x14ac:dyDescent="0.25">
      <c r="G17" s="1" t="s">
        <v>65</v>
      </c>
      <c r="H17" s="20">
        <v>2</v>
      </c>
      <c r="I17" s="19"/>
      <c r="J17" s="18"/>
    </row>
    <row r="18" spans="7:10" ht="18" x14ac:dyDescent="0.25">
      <c r="G18" s="1"/>
      <c r="H18" s="18"/>
      <c r="I18" s="19"/>
      <c r="J18" s="18"/>
    </row>
    <row r="19" spans="7:10" ht="18" x14ac:dyDescent="0.25">
      <c r="G19" s="1" t="s">
        <v>66</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F16" sqref="F16"/>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19</v>
      </c>
      <c r="B1" s="2" t="s">
        <v>20</v>
      </c>
      <c r="C1" s="2" t="s">
        <v>21</v>
      </c>
      <c r="D1" s="2" t="s">
        <v>22</v>
      </c>
      <c r="E1" s="2" t="s">
        <v>23</v>
      </c>
      <c r="F1" s="2" t="s">
        <v>24</v>
      </c>
      <c r="G1" s="2" t="s">
        <v>25</v>
      </c>
      <c r="H1" s="2" t="s">
        <v>4</v>
      </c>
      <c r="I1" s="2" t="s">
        <v>26</v>
      </c>
      <c r="J1" s="2" t="s">
        <v>27</v>
      </c>
      <c r="K1" s="2" t="s">
        <v>5</v>
      </c>
      <c r="L1" s="2" t="s">
        <v>9</v>
      </c>
      <c r="M1" s="2" t="s">
        <v>6</v>
      </c>
      <c r="N1" s="2" t="s">
        <v>17</v>
      </c>
      <c r="O1" s="2" t="s">
        <v>7</v>
      </c>
      <c r="P1" s="2" t="s">
        <v>8</v>
      </c>
      <c r="Q1" s="2" t="s">
        <v>10</v>
      </c>
      <c r="R1" s="2" t="s">
        <v>11</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1:M48"/>
  <sheetViews>
    <sheetView workbookViewId="0">
      <selection activeCell="F9" sqref="F9"/>
    </sheetView>
  </sheetViews>
  <sheetFormatPr defaultRowHeight="12.75" x14ac:dyDescent="0.2"/>
  <cols>
    <col min="7" max="7" width="7.28515625" customWidth="1"/>
    <col min="10" max="10" width="10" customWidth="1"/>
  </cols>
  <sheetData>
    <row r="1" spans="3:13" x14ac:dyDescent="0.2">
      <c r="C1" s="4" t="s">
        <v>54</v>
      </c>
      <c r="D1" s="4" t="str">
        <f ca="1">MID(CELL("filename"),SEARCH("[",CELL("filename"))+1, SEARCH("]",CELL("filename"))-SEARCH("[",CELL("filename"))-1)</f>
        <v>FullContact Email Enrichment - Template.xlsm</v>
      </c>
    </row>
    <row r="2" spans="3:13" x14ac:dyDescent="0.2">
      <c r="C2" s="4" t="s">
        <v>64</v>
      </c>
      <c r="D2">
        <v>1</v>
      </c>
      <c r="E2" s="4"/>
    </row>
    <row r="3" spans="3:13" x14ac:dyDescent="0.2">
      <c r="C3" s="3" t="s">
        <v>28</v>
      </c>
      <c r="D3">
        <f>COUNTIF(InputSheet!B:B,"200")</f>
        <v>0</v>
      </c>
      <c r="E3" s="7">
        <f>D3/D5</f>
        <v>0</v>
      </c>
    </row>
    <row r="4" spans="3:13" x14ac:dyDescent="0.2">
      <c r="C4" s="3" t="s">
        <v>29</v>
      </c>
      <c r="D4">
        <f>COUNTBLANK(InputSheet!A:A)</f>
        <v>1048575</v>
      </c>
    </row>
    <row r="5" spans="3:13" x14ac:dyDescent="0.2">
      <c r="C5" s="3" t="s">
        <v>30</v>
      </c>
      <c r="D5">
        <v>3</v>
      </c>
    </row>
    <row r="6" spans="3:13" x14ac:dyDescent="0.2">
      <c r="C6" s="3" t="s">
        <v>31</v>
      </c>
      <c r="J6" s="3"/>
    </row>
    <row r="7" spans="3:13" x14ac:dyDescent="0.2">
      <c r="C7" s="3" t="s">
        <v>32</v>
      </c>
      <c r="D7">
        <f>COUNTIF(InputSheet!B:B,"202")</f>
        <v>0</v>
      </c>
      <c r="E7" s="7">
        <f>D7/D5</f>
        <v>0</v>
      </c>
      <c r="J7" s="3"/>
    </row>
    <row r="8" spans="3:13" ht="18" x14ac:dyDescent="0.25">
      <c r="C8" s="3" t="s">
        <v>33</v>
      </c>
      <c r="D8">
        <f>COUNTIF(InputSheet!B:B,"422")</f>
        <v>0</v>
      </c>
      <c r="E8" s="17">
        <f>D8/D5</f>
        <v>0</v>
      </c>
      <c r="H8" s="15" t="str">
        <f ca="1">CONCATENATE("Results for ",D1)</f>
        <v>Results for FullContact Email Enrichment - Template.xlsm</v>
      </c>
      <c r="J8" s="3"/>
    </row>
    <row r="9" spans="3:13" x14ac:dyDescent="0.2">
      <c r="C9" s="5" t="s">
        <v>44</v>
      </c>
      <c r="D9">
        <v>1</v>
      </c>
    </row>
    <row r="10" spans="3:13" ht="13.5" thickBot="1" x14ac:dyDescent="0.25">
      <c r="C10" s="5" t="s">
        <v>45</v>
      </c>
      <c r="D10">
        <v>2</v>
      </c>
      <c r="E10" s="8">
        <f>D10/D5</f>
        <v>0.66666666666666663</v>
      </c>
    </row>
    <row r="11" spans="3:13" ht="13.5" thickBot="1" x14ac:dyDescent="0.25">
      <c r="H11" s="16"/>
      <c r="I11" s="16"/>
      <c r="J11" s="13"/>
      <c r="K11" s="13" t="s">
        <v>53</v>
      </c>
      <c r="L11" s="13" t="s">
        <v>55</v>
      </c>
      <c r="M11" s="16"/>
    </row>
    <row r="12" spans="3:13" x14ac:dyDescent="0.2">
      <c r="C12" s="6" t="s">
        <v>43</v>
      </c>
      <c r="D12">
        <f>IF(D2=1,COUNTA(InputSheet!E:E)-1,"")</f>
        <v>0</v>
      </c>
      <c r="E12" s="7">
        <f>D12/$D$5</f>
        <v>0</v>
      </c>
      <c r="H12" s="14" t="s">
        <v>56</v>
      </c>
      <c r="K12">
        <f>IF(D2=1,D5,"")</f>
        <v>3</v>
      </c>
    </row>
    <row r="13" spans="3:13" x14ac:dyDescent="0.2">
      <c r="C13" s="5" t="s">
        <v>24</v>
      </c>
      <c r="D13">
        <f>IF(D2=1,COUNTA(InputSheet!F:F)-1,"")</f>
        <v>0</v>
      </c>
      <c r="E13" s="7">
        <f t="shared" ref="E13:E24" si="0">D13/$D$5</f>
        <v>0</v>
      </c>
      <c r="H13" s="14" t="s">
        <v>49</v>
      </c>
      <c r="K13">
        <f>IF(D2=1,D3,"")</f>
        <v>0</v>
      </c>
      <c r="L13" s="7">
        <f>K13/K12</f>
        <v>0</v>
      </c>
    </row>
    <row r="14" spans="3:13" x14ac:dyDescent="0.2">
      <c r="C14" s="6" t="s">
        <v>25</v>
      </c>
      <c r="D14">
        <f>IF(D2=1,COUNTA(InputSheet!G:G)-1,"")</f>
        <v>0</v>
      </c>
      <c r="E14" s="7">
        <f t="shared" si="0"/>
        <v>0</v>
      </c>
      <c r="H14" s="14" t="s">
        <v>50</v>
      </c>
      <c r="K14">
        <f>IF(D2=1,D7,"")</f>
        <v>0</v>
      </c>
      <c r="L14" s="7">
        <f>K14/K12</f>
        <v>0</v>
      </c>
    </row>
    <row r="15" spans="3:13" x14ac:dyDescent="0.2">
      <c r="C15" s="6" t="s">
        <v>4</v>
      </c>
      <c r="D15">
        <f>IF(D2=1,COUNTA(InputSheet!H:H)-1,"")</f>
        <v>0</v>
      </c>
      <c r="E15" s="7">
        <f t="shared" si="0"/>
        <v>0</v>
      </c>
      <c r="H15" s="14" t="s">
        <v>51</v>
      </c>
      <c r="K15">
        <f>IF(D2=1,D8,"")</f>
        <v>0</v>
      </c>
      <c r="L15" s="7">
        <f>K15/K12</f>
        <v>0</v>
      </c>
    </row>
    <row r="16" spans="3:13" x14ac:dyDescent="0.2">
      <c r="C16" s="6" t="s">
        <v>26</v>
      </c>
      <c r="D16">
        <f>IF(D2=1,COUNTA(InputSheet!I:I)-1,"")</f>
        <v>0</v>
      </c>
      <c r="E16" s="7">
        <f t="shared" si="0"/>
        <v>0</v>
      </c>
    </row>
    <row r="17" spans="3:13" x14ac:dyDescent="0.2">
      <c r="C17" s="6" t="s">
        <v>27</v>
      </c>
      <c r="D17">
        <f>IF(D2=1,COUNTA(InputSheet!J:J)-1,"")</f>
        <v>0</v>
      </c>
      <c r="E17" s="7">
        <f t="shared" si="0"/>
        <v>0</v>
      </c>
    </row>
    <row r="18" spans="3:13" x14ac:dyDescent="0.2">
      <c r="C18" s="6" t="s">
        <v>47</v>
      </c>
      <c r="D18">
        <f>IF(D2=1,COUNTIF(InputSheet!L:L,"&gt;0"),"")</f>
        <v>0</v>
      </c>
      <c r="E18" s="7">
        <f t="shared" si="0"/>
        <v>0</v>
      </c>
      <c r="H18" s="2" t="s">
        <v>57</v>
      </c>
    </row>
    <row r="19" spans="3:13" ht="13.5" thickBot="1" x14ac:dyDescent="0.25">
      <c r="C19" s="6" t="s">
        <v>6</v>
      </c>
      <c r="D19">
        <f>IF(D2=1,COUNTA(InputSheet!M:M)-1,"")</f>
        <v>0</v>
      </c>
      <c r="E19" s="7">
        <f t="shared" si="0"/>
        <v>0</v>
      </c>
    </row>
    <row r="20" spans="3:13" ht="13.5" thickBot="1" x14ac:dyDescent="0.25">
      <c r="C20" s="6" t="s">
        <v>17</v>
      </c>
      <c r="D20">
        <f>IF(D2=1,COUNTA(InputSheet!N:N)-1,"")</f>
        <v>0</v>
      </c>
      <c r="E20" s="7">
        <f t="shared" si="0"/>
        <v>0</v>
      </c>
      <c r="H20" s="12"/>
      <c r="I20" s="12"/>
      <c r="J20" s="13" t="s">
        <v>59</v>
      </c>
      <c r="K20" s="13"/>
      <c r="L20" s="13" t="s">
        <v>60</v>
      </c>
      <c r="M20" s="12"/>
    </row>
    <row r="21" spans="3:13" x14ac:dyDescent="0.2">
      <c r="C21" s="6" t="s">
        <v>7</v>
      </c>
      <c r="D21">
        <f>IF(D2=1,COUNTA(InputSheet!O:O)-1,"")</f>
        <v>0</v>
      </c>
      <c r="E21" s="7">
        <f t="shared" si="0"/>
        <v>0</v>
      </c>
      <c r="J21" s="9" t="s">
        <v>58</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46</v>
      </c>
      <c r="D23">
        <f>IF(D2=1,COUNTA(InputSheet!Q:Q)-1,"")</f>
        <v>0</v>
      </c>
      <c r="E23" s="7">
        <f t="shared" si="0"/>
        <v>0</v>
      </c>
      <c r="H23" t="str">
        <f t="shared" si="1"/>
        <v>Age</v>
      </c>
      <c r="J23">
        <f t="shared" si="2"/>
        <v>0</v>
      </c>
      <c r="L23" s="10">
        <f t="shared" si="3"/>
        <v>0</v>
      </c>
    </row>
    <row r="24" spans="3:13" x14ac:dyDescent="0.2">
      <c r="C24" s="6" t="s">
        <v>48</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37</v>
      </c>
      <c r="E26" s="4" t="s">
        <v>35</v>
      </c>
      <c r="H26" t="str">
        <f t="shared" si="1"/>
        <v>Company</v>
      </c>
      <c r="J26">
        <f t="shared" si="2"/>
        <v>0</v>
      </c>
      <c r="L26" s="10">
        <f t="shared" si="3"/>
        <v>0</v>
      </c>
    </row>
    <row r="27" spans="3:13" x14ac:dyDescent="0.2">
      <c r="C27" s="6" t="s">
        <v>25</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24</v>
      </c>
      <c r="D32" s="4" t="s">
        <v>41</v>
      </c>
      <c r="E32">
        <f>IF($D$2=1,COUNTIF(InputSheet!F:F,Statistics!D32),"")</f>
        <v>0</v>
      </c>
      <c r="H32" t="str">
        <f t="shared" si="1"/>
        <v>MySpace</v>
      </c>
      <c r="J32">
        <f t="shared" si="2"/>
        <v>0</v>
      </c>
      <c r="L32" s="10">
        <f t="shared" si="3"/>
        <v>0</v>
      </c>
    </row>
    <row r="33" spans="4:13" x14ac:dyDescent="0.2">
      <c r="D33" s="4" t="s">
        <v>42</v>
      </c>
      <c r="E33">
        <f>IF($D$2=1,COUNTIF(InputSheet!F:F,Statistics!D33),"")</f>
        <v>0</v>
      </c>
      <c r="H33" t="str">
        <f t="shared" si="1"/>
        <v>Other Url</v>
      </c>
      <c r="J33">
        <f t="shared" si="2"/>
        <v>0</v>
      </c>
      <c r="L33" s="10">
        <f t="shared" si="3"/>
        <v>0</v>
      </c>
    </row>
    <row r="34" spans="4:13" x14ac:dyDescent="0.2">
      <c r="D34" t="s">
        <v>40</v>
      </c>
      <c r="E34">
        <f>IF($D$2=1,COUNTIF(InputSheet!F:F,Statistics!D34),"")</f>
        <v>0</v>
      </c>
      <c r="H34" t="str">
        <f t="shared" si="1"/>
        <v>Url Present</v>
      </c>
      <c r="J34">
        <f t="shared" si="2"/>
        <v>0</v>
      </c>
      <c r="L34" s="10">
        <f t="shared" si="3"/>
        <v>0</v>
      </c>
    </row>
    <row r="35" spans="4:13" ht="13.5" thickBot="1" x14ac:dyDescent="0.25">
      <c r="D35" t="s">
        <v>36</v>
      </c>
      <c r="E35">
        <f>IF($D$2=1,COUNTIF(InputSheet!F:F,Statistics!D35),"")</f>
        <v>0</v>
      </c>
    </row>
    <row r="36" spans="4:13" ht="14.25" thickTop="1" thickBot="1" x14ac:dyDescent="0.25">
      <c r="D36" t="s">
        <v>38</v>
      </c>
      <c r="E36">
        <f>IF($D$2=1,COUNTIF(InputSheet!F:F,Statistics!D36),"")</f>
        <v>0</v>
      </c>
      <c r="H36" s="11"/>
      <c r="I36" s="11"/>
      <c r="J36" s="11"/>
      <c r="K36" s="11"/>
      <c r="L36" s="11"/>
      <c r="M36" s="11"/>
    </row>
    <row r="37" spans="4:13" x14ac:dyDescent="0.2">
      <c r="D37" t="s">
        <v>34</v>
      </c>
      <c r="E37">
        <f>IF($D$2=1,COUNTIF(InputSheet!F:F,Statistics!D37),"")</f>
        <v>0</v>
      </c>
    </row>
    <row r="38" spans="4:13" x14ac:dyDescent="0.2">
      <c r="D38" t="s">
        <v>39</v>
      </c>
      <c r="E38">
        <f>IF($D$2=1,COUNTIF(InputSheet!F:F,Statistics!D38),"")</f>
        <v>0</v>
      </c>
    </row>
    <row r="39" spans="4:13" x14ac:dyDescent="0.2">
      <c r="D39" s="4" t="s">
        <v>52</v>
      </c>
      <c r="E39">
        <f>SUM(E32:E38)</f>
        <v>0</v>
      </c>
    </row>
    <row r="43" spans="4:13" x14ac:dyDescent="0.2">
      <c r="D43" s="4" t="s">
        <v>61</v>
      </c>
      <c r="E43" s="8" t="e">
        <f>(E32+E33)/E39</f>
        <v>#DIV/0!</v>
      </c>
    </row>
    <row r="44" spans="4:13" x14ac:dyDescent="0.2">
      <c r="D44" s="4" t="s">
        <v>40</v>
      </c>
      <c r="E44" s="8" t="e">
        <f>E34/$E$39</f>
        <v>#DIV/0!</v>
      </c>
    </row>
    <row r="45" spans="4:13" x14ac:dyDescent="0.2">
      <c r="D45" s="4" t="s">
        <v>36</v>
      </c>
      <c r="E45" s="8" t="e">
        <f t="shared" ref="E45:E48" si="4">E35/$E$39</f>
        <v>#DIV/0!</v>
      </c>
    </row>
    <row r="46" spans="4:13" x14ac:dyDescent="0.2">
      <c r="D46" s="4" t="s">
        <v>38</v>
      </c>
      <c r="E46" s="8" t="e">
        <f t="shared" si="4"/>
        <v>#DIV/0!</v>
      </c>
    </row>
    <row r="47" spans="4:13" x14ac:dyDescent="0.2">
      <c r="D47" s="4" t="s">
        <v>34</v>
      </c>
      <c r="E47" s="8" t="e">
        <f t="shared" si="4"/>
        <v>#DIV/0!</v>
      </c>
    </row>
    <row r="48" spans="4:13" x14ac:dyDescent="0.2">
      <c r="D48" s="4" t="s">
        <v>39</v>
      </c>
      <c r="E48" s="8" t="e">
        <f t="shared" si="4"/>
        <v>#DIV/0!</v>
      </c>
    </row>
  </sheetData>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election activeCell="D13" sqref="D13"/>
    </sheetView>
  </sheetViews>
  <sheetFormatPr defaultRowHeight="12.75" x14ac:dyDescent="0.2"/>
  <cols>
    <col min="1" max="1" width="3.28515625" customWidth="1"/>
  </cols>
  <sheetData>
    <row r="2" spans="1:2" x14ac:dyDescent="0.2">
      <c r="A2" s="2" t="s">
        <v>68</v>
      </c>
    </row>
    <row r="3" spans="1:2" x14ac:dyDescent="0.2">
      <c r="B3" s="4" t="s">
        <v>70</v>
      </c>
    </row>
    <row r="4" spans="1:2" x14ac:dyDescent="0.2">
      <c r="B4" s="4" t="s">
        <v>69</v>
      </c>
    </row>
    <row r="5" spans="1:2" x14ac:dyDescent="0.2">
      <c r="B5" s="4" t="s">
        <v>72</v>
      </c>
    </row>
    <row r="6" spans="1:2" x14ac:dyDescent="0.2">
      <c r="B6" s="4" t="s">
        <v>73</v>
      </c>
    </row>
    <row r="7" spans="1:2" x14ac:dyDescent="0.2">
      <c r="B7" s="4" t="s">
        <v>75</v>
      </c>
    </row>
    <row r="8" spans="1:2" x14ac:dyDescent="0.2">
      <c r="B8" s="4" t="s">
        <v>74</v>
      </c>
    </row>
    <row r="9" spans="1:2" x14ac:dyDescent="0.2">
      <c r="B9" s="4"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Begin</vt:lpstr>
      <vt:lpstr>InputSheet</vt:lpstr>
      <vt:lpstr>Statistics</vt:lpstr>
      <vt:lpstr>ReadMe</vt:lpstr>
      <vt:lpstr>Delay_between_Passes</vt:lpstr>
      <vt:lpstr>fc_api_key</vt:lpstr>
      <vt:lpstr>fckey</vt:lpstr>
      <vt:lpstr>Number_of_Seeding_Passes</vt:lpstr>
      <vt:lpstr>Statistics!Print_Area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2011-11-28T17:50:02Z</cp:lastPrinted>
  <dcterms:created xsi:type="dcterms:W3CDTF">2011-11-06T04:09:30Z</dcterms:created>
  <dcterms:modified xsi:type="dcterms:W3CDTF">2011-11-28T18:07:04Z</dcterms:modified>
</cp:coreProperties>
</file>