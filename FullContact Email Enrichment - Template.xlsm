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565"/>
  </bookViews>
  <sheets>
    <sheet name="Begin" sheetId="1" r:id="rId1"/>
    <sheet name="InputSheet" sheetId="5" r:id="rId2"/>
    <sheet name="Statistics" sheetId="3" r:id="rId3"/>
    <sheet name="ReadMe" sheetId="4" r:id="rId4"/>
  </sheets>
  <functionGroups builtInGroupCount="17"/>
  <definedNames>
    <definedName name="actReg">Statistics!$D$105</definedName>
    <definedName name="actRegCode">Statistics!$D$107</definedName>
    <definedName name="actRegValue">Statistics!$D$106</definedName>
    <definedName name="class0">Statistics!$V$111</definedName>
    <definedName name="class1">Statistics!$V$112</definedName>
    <definedName name="class2">Statistics!$V$113</definedName>
    <definedName name="class3">Statistics!$V$114</definedName>
    <definedName name="class4">Statistics!$V$115</definedName>
    <definedName name="class5">Statistics!$V$116</definedName>
    <definedName name="classValues">Statistics!$C$111:$D$116</definedName>
    <definedName name="Delay_between_Passes">Begin!$H$19</definedName>
    <definedName name="fc_api_key">Begin!$H$15</definedName>
    <definedName name="fckey">Begin!$H$15</definedName>
    <definedName name="Number_of_Seeding_Passes">Begin!$H$17</definedName>
    <definedName name="old">Statistics!$C$112:$D$116</definedName>
    <definedName name="_xlnm.Print_Area" localSheetId="2">Statistics!$G$3:$X$118</definedName>
    <definedName name="regData">Statistics!$B$52:$C$102</definedName>
  </definedNames>
  <calcPr calcId="145621"/>
</workbook>
</file>

<file path=xl/calcChain.xml><?xml version="1.0" encoding="utf-8"?>
<calcChain xmlns="http://schemas.openxmlformats.org/spreadsheetml/2006/main">
  <c r="C102" i="3" l="1"/>
  <c r="C98" i="3"/>
  <c r="D106" i="3" l="1"/>
  <c r="C101" i="3"/>
  <c r="C100" i="3"/>
  <c r="C99"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E38" i="3"/>
  <c r="E37" i="3"/>
  <c r="E36" i="3"/>
  <c r="E35" i="3"/>
  <c r="E34" i="3"/>
  <c r="E33" i="3"/>
  <c r="E32" i="3"/>
  <c r="E27" i="3"/>
  <c r="D27" i="3"/>
  <c r="D24" i="3"/>
  <c r="D23" i="3"/>
  <c r="D22" i="3"/>
  <c r="D21" i="3"/>
  <c r="D20" i="3"/>
  <c r="D19" i="3"/>
  <c r="D18" i="3"/>
  <c r="D17" i="3"/>
  <c r="D16" i="3"/>
  <c r="D15" i="3"/>
  <c r="D14" i="3"/>
  <c r="D13" i="3"/>
  <c r="D12" i="3"/>
  <c r="D8" i="3"/>
  <c r="D7" i="3"/>
  <c r="D4" i="3"/>
  <c r="D3" i="3"/>
  <c r="C103" i="3" l="1"/>
  <c r="C112" i="3"/>
  <c r="C114" i="3"/>
  <c r="C116" i="3"/>
  <c r="U116" i="3" s="1"/>
  <c r="C113" i="3"/>
  <c r="C115" i="3"/>
  <c r="E10" i="3"/>
  <c r="U115" i="3" l="1"/>
  <c r="U113" i="3"/>
  <c r="D107" i="3"/>
  <c r="U114" i="3"/>
  <c r="U111" i="3"/>
  <c r="U112" i="3"/>
  <c r="K12" i="3"/>
  <c r="K15" i="3" l="1"/>
  <c r="K14" i="3"/>
  <c r="K13" i="3"/>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<sst xmlns="http://schemas.openxmlformats.org/spreadsheetml/2006/main" count="166" uniqueCount="147">
  <si>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</si>
  <si>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</si>
  <si>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</si>
  <si>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</si>
  <si>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</si>
  <si>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</si>
  <si>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</si>
  <si>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</si>
  <si>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</si>
  <si>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</si>
  <si>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</si>
  <si>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</si>
  <si>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</si>
  <si>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</si>
  <si>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</si>
  <si>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</si>
  <si>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</si>
  <si>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</si>
  <si>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</si>
  <si>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</si>
  <si>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</si>
  <si>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</si>
  <si>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</si>
  <si>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</si>
  <si>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</si>
  <si>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</si>
  <si>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</si>
  <si>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</si>
  <si>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</si>
  <si>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</si>
  <si>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</si>
  <si>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</si>
  <si>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</si>
  <si>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</si>
  <si>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</si>
  <si>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</si>
  <si>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</si>
  <si>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</si>
  <si>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</si>
  <si>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</si>
  <si>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</si>
  <si>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</si>
  <si>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</si>
  <si>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</si>
  <si>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</si>
  <si>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</si>
  <si>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</si>
  <si>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</si>
  <si>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</si>
  <si>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</si>
  <si>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</si>
  <si>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</si>
  <si>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</si>
  <si>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</si>
  <si>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</si>
  <si>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</si>
  <si>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</si>
  <si>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</si>
  <si>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</si>
  <si>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</si>
  <si>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</si>
  <si>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</si>
  <si>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</si>
  <si>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</si>
  <si>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</si>
  <si>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</si>
  <si>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</si>
  <si>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</si>
  <si>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</si>
  <si>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</si>
  <si>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</si>
  <si>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</si>
  <si>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</si>
  <si>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</si>
  <si>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This has only been tested on Excel 2010 for Windows.</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</si>
  <si>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</si>
  <si>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</si>
  <si>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</si>
  <si>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</si>
  <si>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</si>
  <si>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</si>
  <si>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</si>
  <si>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</si>
  <si>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</si>
  <si>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</si>
  <si>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</si>
  <si>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</si>
  <si>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</si>
  <si>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</si>
  <si>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</si>
  <si>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</si>
  <si>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</si>
  <si>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</si>
  <si>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</si>
  <si>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</si>
  <si>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</si>
  <si>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</si>
  <si>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</si>
  <si>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</si>
  <si>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</si>
  <si>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</si>
  <si>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</si>
  <si>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</si>
  <si>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</si>
  <si>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</si>
  <si>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</si>
  <si>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</si>
  <si>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</si>
  <si>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</si>
  <si>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</si>
  <si>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</si>
  <si>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</si>
  <si>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</si>
  <si>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</si>
  <si>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</si>
  <si>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</si>
  <si>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</si>
  <si>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</si>
  <si>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</si>
  <si>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</si>
  <si>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</si>
  <si>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</si>
  <si>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</si>
  <si>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</si>
  <si>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</si>
  <si>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</si>
  <si>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</si>
  <si>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</si>
  <si>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</si>
  <si>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</si>
  <si>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</si>
  <si>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</si>
  <si>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</si>
  <si>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</si>
  <si>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</si>
  <si>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</si>
  <si>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</si>
  <si>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</si>
  <si>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</si>
  <si>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To populate map, click "generate report" on "Begin" tab. &gt;&gt;</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</si>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</sst>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3"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3">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70204416"/>
        <c:axId val="106414848"/>
      </c:barChart>
      <c:catAx>
        <c:axId val="70204416"/>
        <c:scaling>
          <c:orientation val="minMax"/>
        </c:scaling>
        <c:delete val="0"/>
        <c:axPos val="l"/>
        <c:majorTickMark val="out"/>
        <c:minorTickMark val="none"/>
        <c:tickLblPos val="nextTo"/>
        <c:crossAx val="106414848"/>
        <c:crosses val="autoZero"/>
        <c:auto val="1"/>
        <c:lblAlgn val="ctr"/>
        <c:lblOffset val="100"/>
        <c:noMultiLvlLbl val="0"/>
      </c:catAx>
      <c:valAx>
        <c:axId val="106414848"/>
        <c:scaling>
          <c:orientation val="minMax"/>
        </c:scaling>
        <c:delete val="0"/>
        <c:axPos val="b"/>
        <c:majorGridlines/>
        <c:numFmt formatCode="0%" sourceLinked="0"/>
        <c:majorTickMark val="out"/>
        <c:minorTickMark val="none"/>
        <c:tickLblPos val="nextTo"/>
        <c:crossAx val="7020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70429696"/>
        <c:axId val="70439680"/>
      </c:barChart>
      <c:catAx>
        <c:axId val="70429696"/>
        <c:scaling>
          <c:orientation val="minMax"/>
        </c:scaling>
        <c:delete val="0"/>
        <c:axPos val="b"/>
        <c:majorTickMark val="out"/>
        <c:minorTickMark val="none"/>
        <c:tickLblPos val="nextTo"/>
        <c:crossAx val="70439680"/>
        <c:crosses val="autoZero"/>
        <c:auto val="1"/>
        <c:lblAlgn val="ctr"/>
        <c:lblOffset val="100"/>
        <c:noMultiLvlLbl val="0"/>
      </c:catAx>
      <c:valAx>
        <c:axId val="70439680"/>
        <c:scaling>
          <c:orientation val="minMax"/>
        </c:scaling>
        <c:delete val="0"/>
        <c:axPos val="l"/>
        <c:majorGridlines/>
        <c:numFmt formatCode="0.0%" sourceLinked="1"/>
        <c:majorTickMark val="out"/>
        <c:minorTickMark val="none"/>
        <c:tickLblPos val="nextTo"/>
        <c:crossAx val="7042969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23</xdr:col>
      <xdr:colOff>44824</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549090</xdr:colOff>
      <xdr:row>3</xdr:row>
      <xdr:rowOff>85725</xdr:rowOff>
    </xdr:from>
    <xdr:to>
      <xdr:col>23</xdr:col>
      <xdr:colOff>2070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74943" y="556372"/>
          <a:ext cx="1895863" cy="499222"/>
        </a:xfrm>
        <a:prstGeom prst="rect">
          <a:avLst/>
        </a:prstGeom>
      </xdr:spPr>
    </xdr:pic>
    <xdr:clientData/>
  </xdr:twoCellAnchor>
  <xdr:twoCellAnchor>
    <xdr:from>
      <xdr:col>6</xdr:col>
      <xdr:colOff>258296</xdr:colOff>
      <xdr:row>42</xdr:row>
      <xdr:rowOff>23812</xdr:rowOff>
    </xdr:from>
    <xdr:to>
      <xdr:col>13</xdr:col>
      <xdr:colOff>258296</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352985</xdr:colOff>
      <xdr:row>42</xdr:row>
      <xdr:rowOff>23812</xdr:rowOff>
    </xdr:from>
    <xdr:to>
      <xdr:col>23</xdr:col>
      <xdr:colOff>134471</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429745</xdr:colOff>
      <xdr:row>82</xdr:row>
      <xdr:rowOff>104775</xdr:rowOff>
    </xdr:from>
    <xdr:to>
      <xdr:col>10</xdr:col>
      <xdr:colOff>191621</xdr:colOff>
      <xdr:row>87</xdr:row>
      <xdr:rowOff>57150</xdr:rowOff>
    </xdr:to>
    <xdr:sp macro="" textlink="">
      <xdr:nvSpPr>
        <xdr:cNvPr id="9" name="Washington"/>
        <xdr:cNvSpPr/>
      </xdr:nvSpPr>
      <xdr:spPr>
        <a:xfrm>
          <a:off x="4438650" y="10601325"/>
          <a:ext cx="981075" cy="762000"/>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179988</xdr:colOff>
      <xdr:row>85</xdr:row>
      <xdr:rowOff>114300</xdr:rowOff>
    </xdr:from>
    <xdr:to>
      <xdr:col>10</xdr:col>
      <xdr:colOff>64254</xdr:colOff>
      <xdr:row>91</xdr:row>
      <xdr:rowOff>133350</xdr:rowOff>
    </xdr:to>
    <xdr:sp macro="" textlink="">
      <xdr:nvSpPr>
        <xdr:cNvPr id="10" name="Oregon"/>
        <xdr:cNvSpPr/>
      </xdr:nvSpPr>
      <xdr:spPr>
        <a:xfrm>
          <a:off x="4798493" y="10934700"/>
          <a:ext cx="1166218" cy="990600"/>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16809</xdr:colOff>
      <xdr:row>90</xdr:row>
      <xdr:rowOff>47625</xdr:rowOff>
    </xdr:from>
    <xdr:to>
      <xdr:col>10</xdr:col>
      <xdr:colOff>82924</xdr:colOff>
      <xdr:row>103</xdr:row>
      <xdr:rowOff>0</xdr:rowOff>
    </xdr:to>
    <xdr:sp macro="" textlink="">
      <xdr:nvSpPr>
        <xdr:cNvPr id="11" name="California"/>
        <xdr:cNvSpPr/>
      </xdr:nvSpPr>
      <xdr:spPr>
        <a:xfrm>
          <a:off x="4600015" y="14312713"/>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26333</xdr:colOff>
      <xdr:row>91</xdr:row>
      <xdr:rowOff>57150</xdr:rowOff>
    </xdr:from>
    <xdr:to>
      <xdr:col>10</xdr:col>
      <xdr:colOff>355227</xdr:colOff>
      <xdr:row>100</xdr:row>
      <xdr:rowOff>28575</xdr:rowOff>
    </xdr:to>
    <xdr:sp macro="" textlink="">
      <xdr:nvSpPr>
        <xdr:cNvPr id="13" name="Nevada"/>
        <xdr:cNvSpPr/>
      </xdr:nvSpPr>
      <xdr:spPr>
        <a:xfrm>
          <a:off x="5214657" y="14479121"/>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574301</xdr:colOff>
      <xdr:row>84</xdr:row>
      <xdr:rowOff>0</xdr:rowOff>
    </xdr:from>
    <xdr:to>
      <xdr:col>11</xdr:col>
      <xdr:colOff>193302</xdr:colOff>
      <xdr:row>92</xdr:row>
      <xdr:rowOff>133542</xdr:rowOff>
    </xdr:to>
    <xdr:sp macro="" textlink="">
      <xdr:nvSpPr>
        <xdr:cNvPr id="14" name="Idaho"/>
        <xdr:cNvSpPr/>
      </xdr:nvSpPr>
      <xdr:spPr>
        <a:xfrm>
          <a:off x="5762625" y="13323794"/>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277346</xdr:colOff>
      <xdr:row>84</xdr:row>
      <xdr:rowOff>28575</xdr:rowOff>
    </xdr:from>
    <xdr:to>
      <xdr:col>12</xdr:col>
      <xdr:colOff>497176</xdr:colOff>
      <xdr:row>90</xdr:row>
      <xdr:rowOff>9525</xdr:rowOff>
    </xdr:to>
    <xdr:sp macro="" textlink="">
      <xdr:nvSpPr>
        <xdr:cNvPr id="16" name="Montana"/>
        <xdr:cNvSpPr/>
      </xdr:nvSpPr>
      <xdr:spPr>
        <a:xfrm>
          <a:off x="6138022" y="13352369"/>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81616</xdr:colOff>
      <xdr:row>89</xdr:row>
      <xdr:rowOff>85725</xdr:rowOff>
    </xdr:from>
    <xdr:to>
      <xdr:col>12</xdr:col>
      <xdr:colOff>432981</xdr:colOff>
      <xdr:row>94</xdr:row>
      <xdr:rowOff>85725</xdr:rowOff>
    </xdr:to>
    <xdr:sp macro="" textlink="">
      <xdr:nvSpPr>
        <xdr:cNvPr id="17" name="Wyoming"/>
        <xdr:cNvSpPr/>
      </xdr:nvSpPr>
      <xdr:spPr>
        <a:xfrm>
          <a:off x="6581588" y="11553825"/>
          <a:ext cx="965448" cy="809625"/>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219911</xdr:colOff>
      <xdr:row>92</xdr:row>
      <xdr:rowOff>95250</xdr:rowOff>
    </xdr:from>
    <xdr:to>
      <xdr:col>11</xdr:col>
      <xdr:colOff>344021</xdr:colOff>
      <xdr:row>98</xdr:row>
      <xdr:rowOff>123825</xdr:rowOff>
    </xdr:to>
    <xdr:sp macro="" textlink="">
      <xdr:nvSpPr>
        <xdr:cNvPr id="18" name="Utah"/>
        <xdr:cNvSpPr/>
      </xdr:nvSpPr>
      <xdr:spPr>
        <a:xfrm>
          <a:off x="6080587" y="14674103"/>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553570</xdr:colOff>
      <xdr:row>98</xdr:row>
      <xdr:rowOff>0</xdr:rowOff>
    </xdr:from>
    <xdr:to>
      <xdr:col>11</xdr:col>
      <xdr:colOff>242668</xdr:colOff>
      <xdr:row>105</xdr:row>
      <xdr:rowOff>19052</xdr:rowOff>
    </xdr:to>
    <xdr:sp macro="" textlink="">
      <xdr:nvSpPr>
        <xdr:cNvPr id="19" name="Arizona"/>
        <xdr:cNvSpPr/>
      </xdr:nvSpPr>
      <xdr:spPr>
        <a:xfrm>
          <a:off x="5781675" y="12925425"/>
          <a:ext cx="965447" cy="1152527"/>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255706</xdr:colOff>
      <xdr:row>94</xdr:row>
      <xdr:rowOff>57150</xdr:rowOff>
    </xdr:from>
    <xdr:to>
      <xdr:col>13</xdr:col>
      <xdr:colOff>81803</xdr:colOff>
      <xdr:row>99</xdr:row>
      <xdr:rowOff>38100</xdr:rowOff>
    </xdr:to>
    <xdr:sp macro="" textlink="">
      <xdr:nvSpPr>
        <xdr:cNvPr id="20" name="Colorado"/>
        <xdr:cNvSpPr/>
      </xdr:nvSpPr>
      <xdr:spPr>
        <a:xfrm>
          <a:off x="6150560" y="12496800"/>
          <a:ext cx="1040815" cy="790575"/>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137941</xdr:colOff>
      <xdr:row>98</xdr:row>
      <xdr:rowOff>131669</xdr:rowOff>
    </xdr:from>
    <xdr:to>
      <xdr:col>12</xdr:col>
      <xdr:colOff>538651</xdr:colOff>
      <xdr:row>105</xdr:row>
      <xdr:rowOff>84044</xdr:rowOff>
    </xdr:to>
    <xdr:sp macro="" textlink="">
      <xdr:nvSpPr>
        <xdr:cNvPr id="21" name="New_Mexico"/>
        <xdr:cNvSpPr/>
      </xdr:nvSpPr>
      <xdr:spPr>
        <a:xfrm>
          <a:off x="6603735" y="15651816"/>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467845</xdr:colOff>
      <xdr:row>85</xdr:row>
      <xdr:rowOff>66675</xdr:rowOff>
    </xdr:from>
    <xdr:to>
      <xdr:col>14</xdr:col>
      <xdr:colOff>172571</xdr:colOff>
      <xdr:row>88</xdr:row>
      <xdr:rowOff>152400</xdr:rowOff>
    </xdr:to>
    <xdr:sp macro="" textlink="">
      <xdr:nvSpPr>
        <xdr:cNvPr id="23" name="North_Dakota"/>
        <xdr:cNvSpPr/>
      </xdr:nvSpPr>
      <xdr:spPr>
        <a:xfrm>
          <a:off x="7538757" y="13547351"/>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439270</xdr:colOff>
      <xdr:row>88</xdr:row>
      <xdr:rowOff>152400</xdr:rowOff>
    </xdr:from>
    <xdr:to>
      <xdr:col>14</xdr:col>
      <xdr:colOff>230466</xdr:colOff>
      <xdr:row>92</xdr:row>
      <xdr:rowOff>123825</xdr:rowOff>
    </xdr:to>
    <xdr:sp macro="" textlink="">
      <xdr:nvSpPr>
        <xdr:cNvPr id="25" name="South_Dakota"/>
        <xdr:cNvSpPr/>
      </xdr:nvSpPr>
      <xdr:spPr>
        <a:xfrm>
          <a:off x="6943725" y="11620500"/>
          <a:ext cx="1010395" cy="619125"/>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429745</xdr:colOff>
      <xdr:row>92</xdr:row>
      <xdr:rowOff>66675</xdr:rowOff>
    </xdr:from>
    <xdr:to>
      <xdr:col>14</xdr:col>
      <xdr:colOff>401171</xdr:colOff>
      <xdr:row>95</xdr:row>
      <xdr:rowOff>114300</xdr:rowOff>
    </xdr:to>
    <xdr:sp macro="" textlink="">
      <xdr:nvSpPr>
        <xdr:cNvPr id="26" name="Nebraska"/>
        <xdr:cNvSpPr/>
      </xdr:nvSpPr>
      <xdr:spPr>
        <a:xfrm>
          <a:off x="6934200" y="12182475"/>
          <a:ext cx="1190625" cy="533400"/>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72278</xdr:colOff>
      <xdr:row>95</xdr:row>
      <xdr:rowOff>114300</xdr:rowOff>
    </xdr:from>
    <xdr:to>
      <xdr:col>14</xdr:col>
      <xdr:colOff>563096</xdr:colOff>
      <xdr:row>99</xdr:row>
      <xdr:rowOff>47625</xdr:rowOff>
    </xdr:to>
    <xdr:sp macro="" textlink="">
      <xdr:nvSpPr>
        <xdr:cNvPr id="27" name="Kansas"/>
        <xdr:cNvSpPr/>
      </xdr:nvSpPr>
      <xdr:spPr>
        <a:xfrm>
          <a:off x="7181850" y="12715875"/>
          <a:ext cx="1104900" cy="581025"/>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544045</xdr:colOff>
      <xdr:row>99</xdr:row>
      <xdr:rowOff>38100</xdr:rowOff>
    </xdr:from>
    <xdr:to>
      <xdr:col>15</xdr:col>
      <xdr:colOff>53648</xdr:colOff>
      <xdr:row>103</xdr:row>
      <xdr:rowOff>0</xdr:rowOff>
    </xdr:to>
    <xdr:sp macro="" textlink="">
      <xdr:nvSpPr>
        <xdr:cNvPr id="28" name="Oklahoma"/>
        <xdr:cNvSpPr/>
      </xdr:nvSpPr>
      <xdr:spPr>
        <a:xfrm>
          <a:off x="7048500" y="13287375"/>
          <a:ext cx="1333920" cy="60960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563096</xdr:colOff>
      <xdr:row>99</xdr:row>
      <xdr:rowOff>122144</xdr:rowOff>
    </xdr:from>
    <xdr:to>
      <xdr:col>15</xdr:col>
      <xdr:colOff>182380</xdr:colOff>
      <xdr:row>111</xdr:row>
      <xdr:rowOff>132485</xdr:rowOff>
    </xdr:to>
    <xdr:sp macro="" textlink="">
      <xdr:nvSpPr>
        <xdr:cNvPr id="29" name="Texas"/>
        <xdr:cNvSpPr/>
      </xdr:nvSpPr>
      <xdr:spPr>
        <a:xfrm>
          <a:off x="7028890" y="15799173"/>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283840</xdr:colOff>
      <xdr:row>103</xdr:row>
      <xdr:rowOff>76200</xdr:rowOff>
    </xdr:from>
    <xdr:to>
      <xdr:col>10</xdr:col>
      <xdr:colOff>65927</xdr:colOff>
      <xdr:row>111</xdr:row>
      <xdr:rowOff>76200</xdr:rowOff>
    </xdr:to>
    <xdr:sp macro="" textlink="">
      <xdr:nvSpPr>
        <xdr:cNvPr id="30" name="Alaska"/>
        <xdr:cNvSpPr/>
      </xdr:nvSpPr>
      <xdr:spPr>
        <a:xfrm>
          <a:off x="3806969" y="13973175"/>
          <a:ext cx="1549815" cy="1295400"/>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248770</xdr:colOff>
      <xdr:row>113</xdr:row>
      <xdr:rowOff>47624</xdr:rowOff>
    </xdr:from>
    <xdr:to>
      <xdr:col>9</xdr:col>
      <xdr:colOff>142274</xdr:colOff>
      <xdr:row>115</xdr:row>
      <xdr:rowOff>95249</xdr:rowOff>
    </xdr:to>
    <xdr:grpSp>
      <xdr:nvGrpSpPr>
        <xdr:cNvPr id="181" name="Hawaii"/>
        <xdr:cNvGrpSpPr/>
      </xdr:nvGrpSpPr>
      <xdr:grpSpPr>
        <a:xfrm>
          <a:off x="4831976" y="17921006"/>
          <a:ext cx="498622" cy="361390"/>
          <a:chOff x="3852863" y="15211425"/>
          <a:chExt cx="503104" cy="371475"/>
        </a:xfrm>
      </xdr:grpSpPr>
      <xdr:sp macro="" textlink="">
        <xdr:nvSpPr>
          <xdr:cNvPr id="31" name="Freeform 30"/>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48" name="Freeform 2047"/>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0" name="Freeform 2049"/>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1" name="Freeform 2050"/>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15</xdr:col>
      <xdr:colOff>86566</xdr:colOff>
      <xdr:row>103</xdr:row>
      <xdr:rowOff>50707</xdr:rowOff>
    </xdr:from>
    <xdr:to>
      <xdr:col>16</xdr:col>
      <xdr:colOff>286871</xdr:colOff>
      <xdr:row>107</xdr:row>
      <xdr:rowOff>145957</xdr:rowOff>
    </xdr:to>
    <xdr:sp macro="" textlink="">
      <xdr:nvSpPr>
        <xdr:cNvPr id="160" name="Louisiana"/>
        <xdr:cNvSpPr/>
      </xdr:nvSpPr>
      <xdr:spPr>
        <a:xfrm>
          <a:off x="8972831" y="16355266"/>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496421</xdr:colOff>
      <xdr:row>104</xdr:row>
      <xdr:rowOff>36755</xdr:rowOff>
    </xdr:from>
    <xdr:to>
      <xdr:col>18</xdr:col>
      <xdr:colOff>577383</xdr:colOff>
      <xdr:row>110</xdr:row>
      <xdr:rowOff>80963</xdr:rowOff>
    </xdr:to>
    <xdr:sp macro="" textlink="">
      <xdr:nvSpPr>
        <xdr:cNvPr id="161" name="Florida"/>
        <xdr:cNvSpPr/>
      </xdr:nvSpPr>
      <xdr:spPr>
        <a:xfrm>
          <a:off x="9439275" y="14095655"/>
          <a:ext cx="1300163" cy="1015758"/>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577384</xdr:colOff>
      <xdr:row>99</xdr:row>
      <xdr:rowOff>42863</xdr:rowOff>
    </xdr:from>
    <xdr:to>
      <xdr:col>16</xdr:col>
      <xdr:colOff>67545</xdr:colOff>
      <xdr:row>103</xdr:row>
      <xdr:rowOff>109923</xdr:rowOff>
    </xdr:to>
    <xdr:sp macro="" textlink="">
      <xdr:nvSpPr>
        <xdr:cNvPr id="162" name="Arkansas"/>
        <xdr:cNvSpPr/>
      </xdr:nvSpPr>
      <xdr:spPr>
        <a:xfrm>
          <a:off x="8301038" y="13292138"/>
          <a:ext cx="704879" cy="71476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353546</xdr:colOff>
      <xdr:row>94</xdr:row>
      <xdr:rowOff>128588</xdr:rowOff>
    </xdr:from>
    <xdr:to>
      <xdr:col>16</xdr:col>
      <xdr:colOff>148759</xdr:colOff>
      <xdr:row>99</xdr:row>
      <xdr:rowOff>123825</xdr:rowOff>
    </xdr:to>
    <xdr:sp macro="" textlink="">
      <xdr:nvSpPr>
        <xdr:cNvPr id="163" name="Missouri"/>
        <xdr:cNvSpPr/>
      </xdr:nvSpPr>
      <xdr:spPr>
        <a:xfrm>
          <a:off x="8077200" y="12568238"/>
          <a:ext cx="1014413" cy="804862"/>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214333</xdr:colOff>
      <xdr:row>91</xdr:row>
      <xdr:rowOff>47625</xdr:rowOff>
    </xdr:from>
    <xdr:to>
      <xdr:col>15</xdr:col>
      <xdr:colOff>482331</xdr:colOff>
      <xdr:row>95</xdr:row>
      <xdr:rowOff>0</xdr:rowOff>
    </xdr:to>
    <xdr:sp macro="" textlink="">
      <xdr:nvSpPr>
        <xdr:cNvPr id="164" name="Iowa"/>
        <xdr:cNvSpPr/>
      </xdr:nvSpPr>
      <xdr:spPr>
        <a:xfrm>
          <a:off x="7937987" y="12001500"/>
          <a:ext cx="877599" cy="600075"/>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86566</xdr:colOff>
      <xdr:row>84</xdr:row>
      <xdr:rowOff>142875</xdr:rowOff>
    </xdr:from>
    <xdr:to>
      <xdr:col>15</xdr:col>
      <xdr:colOff>386883</xdr:colOff>
      <xdr:row>91</xdr:row>
      <xdr:rowOff>118994</xdr:rowOff>
    </xdr:to>
    <xdr:sp macro="" textlink="">
      <xdr:nvSpPr>
        <xdr:cNvPr id="166" name="Minnesota"/>
        <xdr:cNvSpPr/>
      </xdr:nvSpPr>
      <xdr:spPr>
        <a:xfrm>
          <a:off x="7805738" y="10963275"/>
          <a:ext cx="914400" cy="1109594"/>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67516</xdr:colOff>
      <xdr:row>87</xdr:row>
      <xdr:rowOff>80963</xdr:rowOff>
    </xdr:from>
    <xdr:to>
      <xdr:col>16</xdr:col>
      <xdr:colOff>201146</xdr:colOff>
      <xdr:row>92</xdr:row>
      <xdr:rowOff>66675</xdr:rowOff>
    </xdr:to>
    <xdr:sp macro="" textlink="">
      <xdr:nvSpPr>
        <xdr:cNvPr id="168" name="Wisconsin"/>
        <xdr:cNvSpPr/>
      </xdr:nvSpPr>
      <xdr:spPr>
        <a:xfrm>
          <a:off x="8396288" y="11387138"/>
          <a:ext cx="747712" cy="795337"/>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334495</xdr:colOff>
      <xdr:row>86</xdr:row>
      <xdr:rowOff>61913</xdr:rowOff>
    </xdr:from>
    <xdr:to>
      <xdr:col>17</xdr:col>
      <xdr:colOff>277545</xdr:colOff>
      <xdr:row>92</xdr:row>
      <xdr:rowOff>104775</xdr:rowOff>
    </xdr:to>
    <xdr:grpSp>
      <xdr:nvGrpSpPr>
        <xdr:cNvPr id="180" name="Michigan"/>
        <xdr:cNvGrpSpPr/>
      </xdr:nvGrpSpPr>
      <xdr:grpSpPr>
        <a:xfrm>
          <a:off x="9220760" y="13699472"/>
          <a:ext cx="1153285" cy="984156"/>
          <a:chOff x="8667750" y="11206163"/>
          <a:chExt cx="1162249" cy="1014412"/>
        </a:xfrm>
      </xdr:grpSpPr>
      <xdr:sp macro="" textlink="">
        <xdr:nvSpPr>
          <xdr:cNvPr id="169" name="Freeform 168"/>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Freeform 169"/>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15</xdr:col>
      <xdr:colOff>344020</xdr:colOff>
      <xdr:row>92</xdr:row>
      <xdr:rowOff>0</xdr:rowOff>
    </xdr:from>
    <xdr:to>
      <xdr:col>16</xdr:col>
      <xdr:colOff>324971</xdr:colOff>
      <xdr:row>98</xdr:row>
      <xdr:rowOff>66809</xdr:rowOff>
    </xdr:to>
    <xdr:sp macro="" textlink="">
      <xdr:nvSpPr>
        <xdr:cNvPr id="171" name="Illinois"/>
        <xdr:cNvSpPr/>
      </xdr:nvSpPr>
      <xdr:spPr>
        <a:xfrm>
          <a:off x="8677275" y="12115800"/>
          <a:ext cx="590550" cy="1038359"/>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263059</xdr:colOff>
      <xdr:row>92</xdr:row>
      <xdr:rowOff>61913</xdr:rowOff>
    </xdr:from>
    <xdr:to>
      <xdr:col>17</xdr:col>
      <xdr:colOff>100853</xdr:colOff>
      <xdr:row>97</xdr:row>
      <xdr:rowOff>42863</xdr:rowOff>
    </xdr:to>
    <xdr:sp macro="" textlink="">
      <xdr:nvSpPr>
        <xdr:cNvPr id="172" name="Indiana"/>
        <xdr:cNvSpPr/>
      </xdr:nvSpPr>
      <xdr:spPr>
        <a:xfrm>
          <a:off x="9205913" y="12177713"/>
          <a:ext cx="442912" cy="790575"/>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5603</xdr:colOff>
      <xdr:row>91</xdr:row>
      <xdr:rowOff>47625</xdr:rowOff>
    </xdr:from>
    <xdr:to>
      <xdr:col>18</xdr:col>
      <xdr:colOff>20449</xdr:colOff>
      <xdr:row>95</xdr:row>
      <xdr:rowOff>100013</xdr:rowOff>
    </xdr:to>
    <xdr:sp macro="" textlink="">
      <xdr:nvSpPr>
        <xdr:cNvPr id="173" name="Ohio"/>
        <xdr:cNvSpPr/>
      </xdr:nvSpPr>
      <xdr:spPr>
        <a:xfrm>
          <a:off x="9553575" y="12001500"/>
          <a:ext cx="624446" cy="700088"/>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475273</xdr:colOff>
      <xdr:row>100</xdr:row>
      <xdr:rowOff>114300</xdr:rowOff>
    </xdr:from>
    <xdr:to>
      <xdr:col>16</xdr:col>
      <xdr:colOff>367834</xdr:colOff>
      <xdr:row>106</xdr:row>
      <xdr:rowOff>57150</xdr:rowOff>
    </xdr:to>
    <xdr:sp macro="" textlink="">
      <xdr:nvSpPr>
        <xdr:cNvPr id="174" name="Mississippi"/>
        <xdr:cNvSpPr/>
      </xdr:nvSpPr>
      <xdr:spPr>
        <a:xfrm>
          <a:off x="8808528" y="13525500"/>
          <a:ext cx="502160" cy="914400"/>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315446</xdr:colOff>
      <xdr:row>100</xdr:row>
      <xdr:rowOff>42863</xdr:rowOff>
    </xdr:from>
    <xdr:to>
      <xdr:col>17</xdr:col>
      <xdr:colOff>277882</xdr:colOff>
      <xdr:row>106</xdr:row>
      <xdr:rowOff>281</xdr:rowOff>
    </xdr:to>
    <xdr:sp macro="" textlink="">
      <xdr:nvSpPr>
        <xdr:cNvPr id="175" name="Alabama"/>
        <xdr:cNvSpPr/>
      </xdr:nvSpPr>
      <xdr:spPr>
        <a:xfrm>
          <a:off x="9258300" y="13454063"/>
          <a:ext cx="572036" cy="923925"/>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115141</xdr:colOff>
      <xdr:row>99</xdr:row>
      <xdr:rowOff>108693</xdr:rowOff>
    </xdr:from>
    <xdr:to>
      <xdr:col>18</xdr:col>
      <xdr:colOff>258295</xdr:colOff>
      <xdr:row>104</xdr:row>
      <xdr:rowOff>142875</xdr:rowOff>
    </xdr:to>
    <xdr:sp macro="" textlink="">
      <xdr:nvSpPr>
        <xdr:cNvPr id="176" name="Georgia"/>
        <xdr:cNvSpPr/>
      </xdr:nvSpPr>
      <xdr:spPr>
        <a:xfrm>
          <a:off x="9663113" y="13357968"/>
          <a:ext cx="757237" cy="843807"/>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444034</xdr:colOff>
      <xdr:row>99</xdr:row>
      <xdr:rowOff>14288</xdr:rowOff>
    </xdr:from>
    <xdr:to>
      <xdr:col>18</xdr:col>
      <xdr:colOff>553570</xdr:colOff>
      <xdr:row>102</xdr:row>
      <xdr:rowOff>77102</xdr:rowOff>
    </xdr:to>
    <xdr:sp macro="" textlink="">
      <xdr:nvSpPr>
        <xdr:cNvPr id="177" name="South_Carolina"/>
        <xdr:cNvSpPr/>
      </xdr:nvSpPr>
      <xdr:spPr>
        <a:xfrm>
          <a:off x="9996488" y="13263563"/>
          <a:ext cx="719137" cy="548589"/>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24411</xdr:colOff>
      <xdr:row>97</xdr:row>
      <xdr:rowOff>114300</xdr:rowOff>
    </xdr:from>
    <xdr:to>
      <xdr:col>17</xdr:col>
      <xdr:colOff>596434</xdr:colOff>
      <xdr:row>100</xdr:row>
      <xdr:rowOff>145574</xdr:rowOff>
    </xdr:to>
    <xdr:sp macro="" textlink="">
      <xdr:nvSpPr>
        <xdr:cNvPr id="178" name="Tennessee"/>
        <xdr:cNvSpPr/>
      </xdr:nvSpPr>
      <xdr:spPr>
        <a:xfrm>
          <a:off x="8962783" y="13039725"/>
          <a:ext cx="1186105" cy="517049"/>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139234</xdr:colOff>
      <xdr:row>95</xdr:row>
      <xdr:rowOff>61913</xdr:rowOff>
    </xdr:from>
    <xdr:to>
      <xdr:col>17</xdr:col>
      <xdr:colOff>510709</xdr:colOff>
      <xdr:row>99</xdr:row>
      <xdr:rowOff>0</xdr:rowOff>
    </xdr:to>
    <xdr:sp macro="" textlink="">
      <xdr:nvSpPr>
        <xdr:cNvPr id="179" name="Kentucky"/>
        <xdr:cNvSpPr/>
      </xdr:nvSpPr>
      <xdr:spPr>
        <a:xfrm>
          <a:off x="9082088" y="12663488"/>
          <a:ext cx="981075" cy="585787"/>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299872</xdr:colOff>
      <xdr:row>96</xdr:row>
      <xdr:rowOff>14288</xdr:rowOff>
    </xdr:from>
    <xdr:to>
      <xdr:col>20</xdr:col>
      <xdr:colOff>282109</xdr:colOff>
      <xdr:row>100</xdr:row>
      <xdr:rowOff>9525</xdr:rowOff>
    </xdr:to>
    <xdr:sp macro="" textlink="">
      <xdr:nvSpPr>
        <xdr:cNvPr id="182" name="North_Carolina"/>
        <xdr:cNvSpPr/>
      </xdr:nvSpPr>
      <xdr:spPr>
        <a:xfrm>
          <a:off x="9852326" y="12777788"/>
          <a:ext cx="1201437" cy="64293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367685</xdr:colOff>
      <xdr:row>93</xdr:row>
      <xdr:rowOff>85725</xdr:rowOff>
    </xdr:from>
    <xdr:to>
      <xdr:col>20</xdr:col>
      <xdr:colOff>220196</xdr:colOff>
      <xdr:row>98</xdr:row>
      <xdr:rowOff>281</xdr:rowOff>
    </xdr:to>
    <xdr:sp macro="" textlink="">
      <xdr:nvSpPr>
        <xdr:cNvPr id="186" name="Virginia"/>
        <xdr:cNvSpPr/>
      </xdr:nvSpPr>
      <xdr:spPr>
        <a:xfrm>
          <a:off x="9920139" y="12363450"/>
          <a:ext cx="1071711" cy="71913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439271</xdr:colOff>
      <xdr:row>93</xdr:row>
      <xdr:rowOff>38100</xdr:rowOff>
    </xdr:from>
    <xdr:to>
      <xdr:col>18</xdr:col>
      <xdr:colOff>453826</xdr:colOff>
      <xdr:row>96</xdr:row>
      <xdr:rowOff>147638</xdr:rowOff>
    </xdr:to>
    <xdr:sp macro="" textlink="">
      <xdr:nvSpPr>
        <xdr:cNvPr id="187" name="West_Virginia"/>
        <xdr:cNvSpPr/>
      </xdr:nvSpPr>
      <xdr:spPr>
        <a:xfrm>
          <a:off x="9991725" y="12315825"/>
          <a:ext cx="624156" cy="595313"/>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563096</xdr:colOff>
      <xdr:row>89</xdr:row>
      <xdr:rowOff>133350</xdr:rowOff>
    </xdr:from>
    <xdr:to>
      <xdr:col>20</xdr:col>
      <xdr:colOff>196384</xdr:colOff>
      <xdr:row>93</xdr:row>
      <xdr:rowOff>123825</xdr:rowOff>
    </xdr:to>
    <xdr:sp macro="" textlink="">
      <xdr:nvSpPr>
        <xdr:cNvPr id="188" name="Pennsylvania"/>
        <xdr:cNvSpPr/>
      </xdr:nvSpPr>
      <xdr:spPr>
        <a:xfrm>
          <a:off x="10115550" y="11763375"/>
          <a:ext cx="852488" cy="638175"/>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191620</xdr:colOff>
      <xdr:row>92</xdr:row>
      <xdr:rowOff>85725</xdr:rowOff>
    </xdr:from>
    <xdr:to>
      <xdr:col>20</xdr:col>
      <xdr:colOff>235615</xdr:colOff>
      <xdr:row>94</xdr:row>
      <xdr:rowOff>153923</xdr:rowOff>
    </xdr:to>
    <xdr:sp macro="" textlink="">
      <xdr:nvSpPr>
        <xdr:cNvPr id="189" name="Maryland"/>
        <xdr:cNvSpPr/>
      </xdr:nvSpPr>
      <xdr:spPr>
        <a:xfrm>
          <a:off x="10965180" y="15280005"/>
          <a:ext cx="653594" cy="395858"/>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86566</xdr:colOff>
      <xdr:row>92</xdr:row>
      <xdr:rowOff>66675</xdr:rowOff>
    </xdr:from>
    <xdr:to>
      <xdr:col>20</xdr:col>
      <xdr:colOff>244009</xdr:colOff>
      <xdr:row>93</xdr:row>
      <xdr:rowOff>133350</xdr:rowOff>
    </xdr:to>
    <xdr:sp macro="" textlink="">
      <xdr:nvSpPr>
        <xdr:cNvPr id="190" name="Delaware"/>
        <xdr:cNvSpPr/>
      </xdr:nvSpPr>
      <xdr:spPr>
        <a:xfrm>
          <a:off x="10853738" y="12182475"/>
          <a:ext cx="161925" cy="228600"/>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129428</xdr:colOff>
      <xdr:row>90</xdr:row>
      <xdr:rowOff>66675</xdr:rowOff>
    </xdr:from>
    <xdr:to>
      <xdr:col>20</xdr:col>
      <xdr:colOff>316271</xdr:colOff>
      <xdr:row>93</xdr:row>
      <xdr:rowOff>14288</xdr:rowOff>
    </xdr:to>
    <xdr:sp macro="" textlink="">
      <xdr:nvSpPr>
        <xdr:cNvPr id="191" name="New_Jersey"/>
        <xdr:cNvSpPr/>
      </xdr:nvSpPr>
      <xdr:spPr>
        <a:xfrm>
          <a:off x="10896600" y="11858625"/>
          <a:ext cx="191325" cy="433388"/>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10366</xdr:colOff>
      <xdr:row>85</xdr:row>
      <xdr:rowOff>147638</xdr:rowOff>
    </xdr:from>
    <xdr:to>
      <xdr:col>21</xdr:col>
      <xdr:colOff>96091</xdr:colOff>
      <xdr:row>91</xdr:row>
      <xdr:rowOff>19050</xdr:rowOff>
    </xdr:to>
    <xdr:grpSp>
      <xdr:nvGrpSpPr>
        <xdr:cNvPr id="2228" name="New_York"/>
        <xdr:cNvGrpSpPr/>
      </xdr:nvGrpSpPr>
      <xdr:grpSpPr>
        <a:xfrm>
          <a:off x="10711984" y="13628314"/>
          <a:ext cx="1105460" cy="812707"/>
          <a:chOff x="10167938" y="11129963"/>
          <a:chExt cx="1114425" cy="842962"/>
        </a:xfrm>
      </xdr:grpSpPr>
      <xdr:sp macro="" textlink="">
        <xdr:nvSpPr>
          <xdr:cNvPr id="2209" name="Freeform 2208"/>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7" name="Freeform 222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20</xdr:col>
      <xdr:colOff>115141</xdr:colOff>
      <xdr:row>85</xdr:row>
      <xdr:rowOff>71438</xdr:rowOff>
    </xdr:from>
    <xdr:to>
      <xdr:col>20</xdr:col>
      <xdr:colOff>358309</xdr:colOff>
      <xdr:row>88</xdr:row>
      <xdr:rowOff>52713</xdr:rowOff>
    </xdr:to>
    <xdr:sp macro="" textlink="">
      <xdr:nvSpPr>
        <xdr:cNvPr id="2229" name="Vermont"/>
        <xdr:cNvSpPr/>
      </xdr:nvSpPr>
      <xdr:spPr>
        <a:xfrm>
          <a:off x="10882313" y="11053763"/>
          <a:ext cx="247650" cy="467050"/>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291634</xdr:colOff>
      <xdr:row>88</xdr:row>
      <xdr:rowOff>128588</xdr:rowOff>
    </xdr:from>
    <xdr:to>
      <xdr:col>21</xdr:col>
      <xdr:colOff>96091</xdr:colOff>
      <xdr:row>90</xdr:row>
      <xdr:rowOff>33338</xdr:rowOff>
    </xdr:to>
    <xdr:sp macro="" textlink="">
      <xdr:nvSpPr>
        <xdr:cNvPr id="2230" name="Connecticut"/>
        <xdr:cNvSpPr/>
      </xdr:nvSpPr>
      <xdr:spPr>
        <a:xfrm>
          <a:off x="11063288" y="11596688"/>
          <a:ext cx="219075" cy="228600"/>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77041</xdr:colOff>
      <xdr:row>88</xdr:row>
      <xdr:rowOff>109538</xdr:rowOff>
    </xdr:from>
    <xdr:to>
      <xdr:col>22</xdr:col>
      <xdr:colOff>80510</xdr:colOff>
      <xdr:row>89</xdr:row>
      <xdr:rowOff>52388</xdr:rowOff>
    </xdr:to>
    <xdr:sp macro="" textlink="">
      <xdr:nvSpPr>
        <xdr:cNvPr id="2231" name="Rhode_Island"/>
        <xdr:cNvSpPr/>
      </xdr:nvSpPr>
      <xdr:spPr>
        <a:xfrm>
          <a:off x="11263313" y="11577638"/>
          <a:ext cx="100012" cy="104775"/>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258296</xdr:colOff>
      <xdr:row>87</xdr:row>
      <xdr:rowOff>85725</xdr:rowOff>
    </xdr:from>
    <xdr:to>
      <xdr:col>23</xdr:col>
      <xdr:colOff>117661</xdr:colOff>
      <xdr:row>89</xdr:row>
      <xdr:rowOff>14288</xdr:rowOff>
    </xdr:to>
    <xdr:sp macro="" textlink="">
      <xdr:nvSpPr>
        <xdr:cNvPr id="2232" name="Massachusetts"/>
        <xdr:cNvSpPr/>
      </xdr:nvSpPr>
      <xdr:spPr>
        <a:xfrm>
          <a:off x="11029950" y="11391900"/>
          <a:ext cx="485775" cy="252413"/>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320209</xdr:colOff>
      <xdr:row>85</xdr:row>
      <xdr:rowOff>281</xdr:rowOff>
    </xdr:from>
    <xdr:to>
      <xdr:col>22</xdr:col>
      <xdr:colOff>28575</xdr:colOff>
      <xdr:row>88</xdr:row>
      <xdr:rowOff>24249</xdr:rowOff>
    </xdr:to>
    <xdr:sp macro="" textlink="">
      <xdr:nvSpPr>
        <xdr:cNvPr id="2233" name="New_Hampshire"/>
        <xdr:cNvSpPr/>
      </xdr:nvSpPr>
      <xdr:spPr>
        <a:xfrm>
          <a:off x="11091863" y="10977563"/>
          <a:ext cx="223837" cy="51478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358309</xdr:colOff>
      <xdr:row>81</xdr:row>
      <xdr:rowOff>133350</xdr:rowOff>
    </xdr:from>
    <xdr:to>
      <xdr:col>23</xdr:col>
      <xdr:colOff>245839</xdr:colOff>
      <xdr:row>87</xdr:row>
      <xdr:rowOff>28727</xdr:rowOff>
    </xdr:to>
    <xdr:sp macro="" textlink="">
      <xdr:nvSpPr>
        <xdr:cNvPr id="2234" name="Maine"/>
        <xdr:cNvSpPr/>
      </xdr:nvSpPr>
      <xdr:spPr>
        <a:xfrm>
          <a:off x="11129963" y="10467975"/>
          <a:ext cx="519112" cy="866927"/>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375052</xdr:colOff>
      <xdr:row>93</xdr:row>
      <xdr:rowOff>87972</xdr:rowOff>
    </xdr:from>
    <xdr:to>
      <xdr:col>18</xdr:col>
      <xdr:colOff>458872</xdr:colOff>
      <xdr:row>93</xdr:row>
      <xdr:rowOff>154577</xdr:rowOff>
    </xdr:to>
    <xdr:sp macro="" textlink="">
      <xdr:nvSpPr>
        <xdr:cNvPr id="65" name="District_of_Columbia"/>
        <xdr:cNvSpPr/>
      </xdr:nvSpPr>
      <xdr:spPr>
        <a:xfrm>
          <a:off x="11270723" y="15341911"/>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J19"/>
  <sheetViews>
    <sheetView showGridLines="0" tabSelected="1" workbookViewId="0">
      <selection activeCell="H15" sqref="H15:J15"/>
    </sheetView>
  </sheetViews>
  <sheetFormatPr defaultRowHeight="12.75" x14ac:dyDescent="0.2"/>
  <sheetData>
    <row r="3" spans="3:10" x14ac:dyDescent="0.2">
      <c r="C3" s="4" t="s">
        <v>143</v>
      </c>
      <c r="D3" s="4" t="s">
        <v>144</v>
      </c>
    </row>
    <row r="4" spans="3:10" x14ac:dyDescent="0.2">
      <c r="C4" t="s">
        <v>0</v>
      </c>
      <c r="D4" t="s">
        <v>12</v>
      </c>
    </row>
    <row r="5" spans="3:10" x14ac:dyDescent="0.2">
      <c r="C5" t="s">
        <v>1</v>
      </c>
      <c r="D5" t="s">
        <v>2</v>
      </c>
    </row>
    <row r="6" spans="3:10" x14ac:dyDescent="0.2">
      <c r="C6" t="s">
        <v>3</v>
      </c>
      <c r="D6" s="4" t="s">
        <v>66</v>
      </c>
    </row>
    <row r="7" spans="3:10" x14ac:dyDescent="0.2">
      <c r="C7" t="s">
        <v>13</v>
      </c>
      <c r="D7" t="s">
        <v>14</v>
      </c>
    </row>
    <row r="8" spans="3:10" x14ac:dyDescent="0.2">
      <c r="C8" t="s">
        <v>15</v>
      </c>
      <c r="D8" s="4" t="s">
        <v>62</v>
      </c>
    </row>
    <row r="9" spans="3:10" x14ac:dyDescent="0.2">
      <c r="C9" s="4" t="s">
        <v>61</v>
      </c>
      <c r="D9" s="4" t="s">
        <v>142</v>
      </c>
    </row>
    <row r="15" spans="3:10" ht="18" x14ac:dyDescent="0.25">
      <c r="G15" s="1" t="s">
        <v>17</v>
      </c>
      <c r="H15" s="29"/>
      <c r="I15" s="30"/>
      <c r="J15" s="31"/>
    </row>
    <row r="16" spans="3:10" ht="18" x14ac:dyDescent="0.25">
      <c r="G16" s="1"/>
      <c r="H16" s="18"/>
      <c r="I16" s="18"/>
      <c r="J16" s="18"/>
    </row>
    <row r="17" spans="7:10" ht="18" x14ac:dyDescent="0.25">
      <c r="G17" s="1" t="s">
        <v>64</v>
      </c>
      <c r="H17" s="20">
        <v>5</v>
      </c>
      <c r="I17" s="19"/>
      <c r="J17" s="18"/>
    </row>
    <row r="18" spans="7:10" ht="18" x14ac:dyDescent="0.25">
      <c r="G18" s="1"/>
      <c r="H18" s="18"/>
      <c r="I18" s="19"/>
      <c r="J18" s="18"/>
    </row>
    <row r="19" spans="7:10" ht="18" x14ac:dyDescent="0.25">
      <c r="G19" s="1" t="s">
        <v>65</v>
      </c>
      <c r="H19" s="20">
        <v>5</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18</v>
      </c>
      <c r="B1" s="2" t="s">
        <v>19</v>
      </c>
      <c r="C1" s="2" t="s">
        <v>20</v>
      </c>
      <c r="D1" s="2" t="s">
        <v>21</v>
      </c>
      <c r="E1" s="2" t="s">
        <v>22</v>
      </c>
      <c r="F1" s="2" t="s">
        <v>23</v>
      </c>
      <c r="G1" s="2" t="s">
        <v>24</v>
      </c>
      <c r="H1" s="2" t="s">
        <v>4</v>
      </c>
      <c r="I1" s="2" t="s">
        <v>25</v>
      </c>
      <c r="J1" s="2" t="s">
        <v>26</v>
      </c>
      <c r="K1" s="2" t="s">
        <v>5</v>
      </c>
      <c r="L1" s="2" t="s">
        <v>9</v>
      </c>
      <c r="M1" s="2" t="s">
        <v>6</v>
      </c>
      <c r="N1" s="2" t="s">
        <v>16</v>
      </c>
      <c r="O1" s="2" t="s">
        <v>7</v>
      </c>
      <c r="P1" s="2" t="s">
        <v>8</v>
      </c>
      <c r="Q1" s="2" t="s">
        <v>10</v>
      </c>
      <c r="R1" s="2" t="s">
        <v>11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118"/>
  <sheetViews>
    <sheetView zoomScale="85" zoomScaleNormal="85" workbookViewId="0">
      <selection activeCell="G35" sqref="G35"/>
    </sheetView>
  </sheetViews>
  <sheetFormatPr defaultRowHeight="12.75" x14ac:dyDescent="0.2"/>
  <cols>
    <col min="7" max="7" width="5.140625" customWidth="1"/>
    <col min="10" max="10" width="10" customWidth="1"/>
    <col min="20" max="20" width="0" hidden="1" customWidth="1"/>
    <col min="21" max="21" width="6.140625" customWidth="1"/>
    <col min="22" max="22" width="1.5703125" customWidth="1"/>
    <col min="23" max="23" width="1.7109375" customWidth="1"/>
    <col min="24" max="24" width="4" customWidth="1"/>
  </cols>
  <sheetData>
    <row r="1" spans="3:13" x14ac:dyDescent="0.2">
      <c r="C1" s="4" t="s">
        <v>53</v>
      </c>
      <c r="D1" s="4" t="str">
        <f ca="1">MID(CELL("filename"),SEARCH("[",CELL("filename"))+1, SEARCH("]",CELL("filename"))-SEARCH("[",CELL("filename"))-1)</f>
        <v>FullContact Email Enrichment - Template.xlsm</v>
      </c>
    </row>
    <row r="2" spans="3:13" x14ac:dyDescent="0.2">
      <c r="C2" s="4" t="s">
        <v>63</v>
      </c>
      <c r="D2">
        <v>1</v>
      </c>
      <c r="E2" s="4"/>
    </row>
    <row r="3" spans="3:13" x14ac:dyDescent="0.2">
      <c r="C3" s="3" t="s">
        <v>27</v>
      </c>
      <c r="D3">
        <f>COUNTIF(InputSheet!B:B,"200")</f>
        <v>0</v>
      </c>
      <c r="E3" s="7">
        <f>D3/D5</f>
        <v>0</v>
      </c>
    </row>
    <row r="4" spans="3:13" x14ac:dyDescent="0.2">
      <c r="C4" s="3" t="s">
        <v>28</v>
      </c>
      <c r="D4">
        <f>COUNTBLANK(InputSheet!A:A)</f>
        <v>1048575</v>
      </c>
    </row>
    <row r="5" spans="3:13" x14ac:dyDescent="0.2">
      <c r="C5" s="3" t="s">
        <v>29</v>
      </c>
      <c r="D5">
        <v>2</v>
      </c>
    </row>
    <row r="6" spans="3:13" x14ac:dyDescent="0.2">
      <c r="C6" s="3" t="s">
        <v>30</v>
      </c>
      <c r="J6" s="3"/>
    </row>
    <row r="7" spans="3:13" x14ac:dyDescent="0.2">
      <c r="C7" s="3" t="s">
        <v>31</v>
      </c>
      <c r="D7">
        <f>COUNTIF(InputSheet!B:B,"202")</f>
        <v>0</v>
      </c>
      <c r="E7" s="7">
        <f>D7/D5</f>
        <v>0</v>
      </c>
      <c r="J7" s="3"/>
    </row>
    <row r="8" spans="3:13" ht="18" x14ac:dyDescent="0.25">
      <c r="C8" s="3" t="s">
        <v>32</v>
      </c>
      <c r="D8">
        <f>COUNTIF(InputSheet!B:B,"422")</f>
        <v>0</v>
      </c>
      <c r="E8" s="17">
        <f>D8/D5</f>
        <v>0</v>
      </c>
      <c r="H8" s="15" t="str">
        <f ca="1">CONCATENATE("Results for ",D1)</f>
        <v>Results for FullContact Email Enrichment - Template.xlsm</v>
      </c>
      <c r="J8" s="3"/>
    </row>
    <row r="9" spans="3:13" x14ac:dyDescent="0.2">
      <c r="C9" s="5" t="s">
        <v>43</v>
      </c>
      <c r="D9">
        <v>0</v>
      </c>
    </row>
    <row r="10" spans="3:13" ht="13.5" thickBot="1" x14ac:dyDescent="0.25">
      <c r="C10" s="5" t="s">
        <v>44</v>
      </c>
      <c r="D10">
        <v>3</v>
      </c>
      <c r="E10" s="8">
        <f>D10/D5</f>
        <v>1.5</v>
      </c>
    </row>
    <row r="11" spans="3:13" ht="13.5" thickBot="1" x14ac:dyDescent="0.25">
      <c r="H11" s="16"/>
      <c r="I11" s="16"/>
      <c r="J11" s="13"/>
      <c r="K11" s="13" t="s">
        <v>52</v>
      </c>
      <c r="L11" s="13" t="s">
        <v>54</v>
      </c>
      <c r="M11" s="16"/>
    </row>
    <row r="12" spans="3:13" x14ac:dyDescent="0.2">
      <c r="C12" s="6" t="s">
        <v>42</v>
      </c>
      <c r="D12">
        <f>IF(D2=1,COUNTA(InputSheet!E:E)-1,"")</f>
        <v>0</v>
      </c>
      <c r="E12" s="7">
        <f>D12/$D$5</f>
        <v>0</v>
      </c>
      <c r="H12" s="14" t="s">
        <v>55</v>
      </c>
      <c r="K12">
        <f>IF(D2=1,D5,"")</f>
        <v>2</v>
      </c>
    </row>
    <row r="13" spans="3:13" x14ac:dyDescent="0.2">
      <c r="C13" s="5" t="s">
        <v>23</v>
      </c>
      <c r="D13">
        <f>IF(D2=1,COUNTA(InputSheet!F:F)-1,"")</f>
        <v>0</v>
      </c>
      <c r="E13" s="7">
        <f t="shared" ref="E13:E24" si="0">D13/$D$5</f>
        <v>0</v>
      </c>
      <c r="H13" s="14" t="s">
        <v>48</v>
      </c>
      <c r="K13">
        <f>IF(D2=1,D3,"")</f>
        <v>0</v>
      </c>
      <c r="L13" s="7">
        <f>K13/K12</f>
        <v>0</v>
      </c>
    </row>
    <row r="14" spans="3:13" x14ac:dyDescent="0.2">
      <c r="C14" s="6" t="s">
        <v>24</v>
      </c>
      <c r="D14">
        <f>IF(D2=1,COUNTA(InputSheet!G:G)-1,"")</f>
        <v>0</v>
      </c>
      <c r="E14" s="7">
        <f t="shared" si="0"/>
        <v>0</v>
      </c>
      <c r="H14" s="14" t="s">
        <v>49</v>
      </c>
      <c r="K14">
        <f>IF(D2=1,D7,"")</f>
        <v>0</v>
      </c>
      <c r="L14" s="7">
        <f>K14/K12</f>
        <v>0</v>
      </c>
    </row>
    <row r="15" spans="3:13" x14ac:dyDescent="0.2">
      <c r="C15" s="6" t="s">
        <v>4</v>
      </c>
      <c r="D15">
        <f>IF(D2=1,COUNTA(InputSheet!H:H)-1,"")</f>
        <v>0</v>
      </c>
      <c r="E15" s="7">
        <f t="shared" si="0"/>
        <v>0</v>
      </c>
      <c r="H15" s="14" t="s">
        <v>50</v>
      </c>
      <c r="K15">
        <f>IF(D2=1,D8,"")</f>
        <v>0</v>
      </c>
      <c r="L15" s="7">
        <f>K15/K12</f>
        <v>0</v>
      </c>
    </row>
    <row r="16" spans="3:13" x14ac:dyDescent="0.2">
      <c r="C16" s="6" t="s">
        <v>25</v>
      </c>
      <c r="D16">
        <f>IF(D2=1,COUNTA(InputSheet!I:I)-1,"")</f>
        <v>0</v>
      </c>
      <c r="E16" s="7">
        <f t="shared" si="0"/>
        <v>0</v>
      </c>
    </row>
    <row r="17" spans="3:13" x14ac:dyDescent="0.2">
      <c r="C17" s="6" t="s">
        <v>26</v>
      </c>
      <c r="D17">
        <f>IF(D2=1,COUNTA(InputSheet!J:J)-1,"")</f>
        <v>0</v>
      </c>
      <c r="E17" s="7">
        <f t="shared" si="0"/>
        <v>0</v>
      </c>
    </row>
    <row r="18" spans="3:13" x14ac:dyDescent="0.2">
      <c r="C18" s="6" t="s">
        <v>46</v>
      </c>
      <c r="D18">
        <f>IF(D2=1,COUNTIF(InputSheet!L:L,"&gt;0"),"")</f>
        <v>0</v>
      </c>
      <c r="E18" s="7">
        <f t="shared" si="0"/>
        <v>0</v>
      </c>
      <c r="H18" s="2" t="s">
        <v>56</v>
      </c>
    </row>
    <row r="19" spans="3:13" ht="13.5" thickBot="1" x14ac:dyDescent="0.25">
      <c r="C19" s="6" t="s">
        <v>6</v>
      </c>
      <c r="D19">
        <f>IF(D2=1,COUNTA(InputSheet!M:M)-1,"")</f>
        <v>0</v>
      </c>
      <c r="E19" s="7">
        <f t="shared" si="0"/>
        <v>0</v>
      </c>
    </row>
    <row r="20" spans="3:13" ht="13.5" thickBot="1" x14ac:dyDescent="0.25">
      <c r="C20" s="6" t="s">
        <v>16</v>
      </c>
      <c r="D20">
        <f>IF(D2=1,COUNTA(InputSheet!N:N)-1,"")</f>
        <v>0</v>
      </c>
      <c r="E20" s="7">
        <f t="shared" si="0"/>
        <v>0</v>
      </c>
      <c r="H20" s="12"/>
      <c r="I20" s="12"/>
      <c r="J20" s="13" t="s">
        <v>58</v>
      </c>
      <c r="K20" s="13"/>
      <c r="L20" s="13" t="s">
        <v>59</v>
      </c>
      <c r="M20" s="12"/>
    </row>
    <row r="21" spans="3:13" x14ac:dyDescent="0.2">
      <c r="C21" s="6" t="s">
        <v>7</v>
      </c>
      <c r="D21">
        <f>IF(D2=1,COUNTA(InputSheet!O:O)-1,"")</f>
        <v>0</v>
      </c>
      <c r="E21" s="7">
        <f t="shared" si="0"/>
        <v>0</v>
      </c>
      <c r="J21" s="9" t="s">
        <v>57</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45</v>
      </c>
      <c r="D23">
        <f>IF(D2=1,COUNTA(InputSheet!Q:Q)-1,"")</f>
        <v>0</v>
      </c>
      <c r="E23" s="7">
        <f t="shared" si="0"/>
        <v>0</v>
      </c>
      <c r="H23" t="str">
        <f t="shared" si="1"/>
        <v>Age</v>
      </c>
      <c r="J23">
        <f t="shared" si="2"/>
        <v>0</v>
      </c>
      <c r="L23" s="10">
        <f t="shared" si="3"/>
        <v>0</v>
      </c>
    </row>
    <row r="24" spans="3:13" x14ac:dyDescent="0.2">
      <c r="C24" s="6" t="s">
        <v>47</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36</v>
      </c>
      <c r="E26" s="4" t="s">
        <v>34</v>
      </c>
      <c r="H26" t="str">
        <f t="shared" si="1"/>
        <v>Company</v>
      </c>
      <c r="J26">
        <f t="shared" si="2"/>
        <v>0</v>
      </c>
      <c r="L26" s="10">
        <f t="shared" si="3"/>
        <v>0</v>
      </c>
    </row>
    <row r="27" spans="3:13" x14ac:dyDescent="0.2">
      <c r="C27" s="6" t="s">
        <v>24</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23</v>
      </c>
      <c r="D32" s="4" t="s">
        <v>40</v>
      </c>
      <c r="E32">
        <f>IF($D$2=1,COUNTIF(InputSheet!F:F,Statistics!D32),"")</f>
        <v>0</v>
      </c>
      <c r="H32" t="str">
        <f t="shared" si="1"/>
        <v>MySpace</v>
      </c>
      <c r="J32">
        <f t="shared" si="2"/>
        <v>0</v>
      </c>
      <c r="L32" s="10">
        <f t="shared" si="3"/>
        <v>0</v>
      </c>
    </row>
    <row r="33" spans="4:13" x14ac:dyDescent="0.2">
      <c r="D33" s="4" t="s">
        <v>41</v>
      </c>
      <c r="E33">
        <f>IF($D$2=1,COUNTIF(InputSheet!F:F,Statistics!D33),"")</f>
        <v>0</v>
      </c>
      <c r="H33" t="str">
        <f t="shared" si="1"/>
        <v>Other Url</v>
      </c>
      <c r="J33">
        <f t="shared" si="2"/>
        <v>0</v>
      </c>
      <c r="L33" s="10">
        <f t="shared" si="3"/>
        <v>0</v>
      </c>
    </row>
    <row r="34" spans="4:13" x14ac:dyDescent="0.2">
      <c r="D34" t="s">
        <v>39</v>
      </c>
      <c r="E34">
        <f>IF($D$2=1,COUNTIF(InputSheet!F:F,Statistics!D34),"")</f>
        <v>0</v>
      </c>
      <c r="H34" t="str">
        <f t="shared" si="1"/>
        <v>Url Present</v>
      </c>
      <c r="J34">
        <f t="shared" si="2"/>
        <v>0</v>
      </c>
      <c r="L34" s="10">
        <f t="shared" si="3"/>
        <v>0</v>
      </c>
    </row>
    <row r="35" spans="4:13" ht="13.5" thickBot="1" x14ac:dyDescent="0.25">
      <c r="D35" t="s">
        <v>35</v>
      </c>
      <c r="E35">
        <f>IF($D$2=1,COUNTIF(InputSheet!F:F,Statistics!D35),"")</f>
        <v>0</v>
      </c>
    </row>
    <row r="36" spans="4:13" ht="14.25" thickTop="1" thickBot="1" x14ac:dyDescent="0.25">
      <c r="D36" t="s">
        <v>37</v>
      </c>
      <c r="E36">
        <f>IF($D$2=1,COUNTIF(InputSheet!F:F,Statistics!D36),"")</f>
        <v>0</v>
      </c>
      <c r="H36" s="11"/>
      <c r="I36" s="11"/>
      <c r="J36" s="11"/>
      <c r="K36" s="11"/>
      <c r="L36" s="11"/>
      <c r="M36" s="11"/>
    </row>
    <row r="37" spans="4:13" x14ac:dyDescent="0.2">
      <c r="D37" t="s">
        <v>33</v>
      </c>
      <c r="E37">
        <f>IF($D$2=1,COUNTIF(InputSheet!F:F,Statistics!D37),"")</f>
        <v>0</v>
      </c>
    </row>
    <row r="38" spans="4:13" x14ac:dyDescent="0.2">
      <c r="D38" t="s">
        <v>38</v>
      </c>
      <c r="E38">
        <f>IF($D$2=1,COUNTIF(InputSheet!F:F,Statistics!D38),"")</f>
        <v>0</v>
      </c>
    </row>
    <row r="39" spans="4:13" x14ac:dyDescent="0.2">
      <c r="D39" s="4" t="s">
        <v>51</v>
      </c>
      <c r="E39">
        <f>SUM(E32:E38)</f>
        <v>0</v>
      </c>
    </row>
    <row r="43" spans="4:13" x14ac:dyDescent="0.2">
      <c r="D43" s="4" t="s">
        <v>60</v>
      </c>
      <c r="E43" s="8" t="e">
        <f>(E32+E33)/E39</f>
        <v>#DIV/0!</v>
      </c>
    </row>
    <row r="44" spans="4:13" x14ac:dyDescent="0.2">
      <c r="D44" s="4" t="s">
        <v>39</v>
      </c>
      <c r="E44" s="8" t="e">
        <f>E34/$E$39</f>
        <v>#DIV/0!</v>
      </c>
    </row>
    <row r="45" spans="4:13" x14ac:dyDescent="0.2">
      <c r="D45" s="4" t="s">
        <v>35</v>
      </c>
      <c r="E45" s="8" t="e">
        <f t="shared" ref="E45:E48" si="4">E35/$E$39</f>
        <v>#DIV/0!</v>
      </c>
    </row>
    <row r="46" spans="4:13" x14ac:dyDescent="0.2">
      <c r="D46" s="4" t="s">
        <v>37</v>
      </c>
      <c r="E46" s="8" t="e">
        <f t="shared" si="4"/>
        <v>#DIV/0!</v>
      </c>
    </row>
    <row r="47" spans="4:13" x14ac:dyDescent="0.2">
      <c r="D47" s="4" t="s">
        <v>33</v>
      </c>
      <c r="E47" s="8" t="e">
        <f t="shared" si="4"/>
        <v>#DIV/0!</v>
      </c>
    </row>
    <row r="48" spans="4:13" x14ac:dyDescent="0.2">
      <c r="D48" s="4" t="s">
        <v>38</v>
      </c>
      <c r="E48" s="8" t="e">
        <f t="shared" si="4"/>
        <v>#DIV/0!</v>
      </c>
    </row>
    <row r="51" spans="2:3" x14ac:dyDescent="0.2">
      <c r="B51" s="2" t="s">
        <v>76</v>
      </c>
      <c r="C51" s="2" t="s">
        <v>52</v>
      </c>
    </row>
    <row r="52" spans="2:3" x14ac:dyDescent="0.2">
      <c r="B52" t="s">
        <v>77</v>
      </c>
      <c r="C52">
        <f>COUNTIF(InputSheet!H:H,"*Alabama*")</f>
        <v>0</v>
      </c>
    </row>
    <row r="53" spans="2:3" x14ac:dyDescent="0.2">
      <c r="B53" t="s">
        <v>78</v>
      </c>
      <c r="C53">
        <f>COUNTIF(InputSheet!H:H,"*Alaska*")</f>
        <v>0</v>
      </c>
    </row>
    <row r="54" spans="2:3" x14ac:dyDescent="0.2">
      <c r="B54" t="s">
        <v>79</v>
      </c>
      <c r="C54">
        <f>COUNTIF(InputSheet!H:H,"*Arizona*")</f>
        <v>0</v>
      </c>
    </row>
    <row r="55" spans="2:3" x14ac:dyDescent="0.2">
      <c r="B55" t="s">
        <v>80</v>
      </c>
      <c r="C55">
        <f>COUNTIF(InputSheet!H:H,"*Arkansas*")</f>
        <v>0</v>
      </c>
    </row>
    <row r="56" spans="2:3" x14ac:dyDescent="0.2">
      <c r="B56" t="s">
        <v>81</v>
      </c>
      <c r="C56">
        <f>COUNTIF(InputSheet!H:H,"*California*")</f>
        <v>0</v>
      </c>
    </row>
    <row r="57" spans="2:3" x14ac:dyDescent="0.2">
      <c r="B57" t="s">
        <v>82</v>
      </c>
      <c r="C57">
        <f>COUNTIF(InputSheet!H:H,"*Colorado*")</f>
        <v>0</v>
      </c>
    </row>
    <row r="58" spans="2:3" x14ac:dyDescent="0.2">
      <c r="B58" t="s">
        <v>83</v>
      </c>
      <c r="C58">
        <f>COUNTIF(InputSheet!H:H,"*Connecticut*")</f>
        <v>0</v>
      </c>
    </row>
    <row r="59" spans="2:3" x14ac:dyDescent="0.2">
      <c r="B59" t="s">
        <v>84</v>
      </c>
      <c r="C59">
        <f>COUNTIF(InputSheet!H:H,"*Delaware*")</f>
        <v>0</v>
      </c>
    </row>
    <row r="60" spans="2:3" x14ac:dyDescent="0.2">
      <c r="B60" t="s">
        <v>85</v>
      </c>
      <c r="C60">
        <f>COUNTIF(InputSheet!H:H,"*Florida*")</f>
        <v>0</v>
      </c>
    </row>
    <row r="61" spans="2:3" x14ac:dyDescent="0.2">
      <c r="B61" s="4" t="s">
        <v>86</v>
      </c>
      <c r="C61">
        <f>COUNTIF(InputSheet!H:H,"*Georgia*")</f>
        <v>0</v>
      </c>
    </row>
    <row r="62" spans="2:3" x14ac:dyDescent="0.2">
      <c r="B62" s="4" t="s">
        <v>87</v>
      </c>
      <c r="C62">
        <f>COUNTIF(InputSheet!H:H,"*Hawaii*")</f>
        <v>0</v>
      </c>
    </row>
    <row r="63" spans="2:3" x14ac:dyDescent="0.2">
      <c r="B63" s="4" t="s">
        <v>88</v>
      </c>
      <c r="C63">
        <f>COUNTIF(InputSheet!H:H,"*Idaho*")</f>
        <v>0</v>
      </c>
    </row>
    <row r="64" spans="2:3" x14ac:dyDescent="0.2">
      <c r="B64" s="4" t="s">
        <v>89</v>
      </c>
      <c r="C64">
        <f>COUNTIF(InputSheet!H:H,"*Illinois*")</f>
        <v>0</v>
      </c>
    </row>
    <row r="65" spans="2:3" x14ac:dyDescent="0.2">
      <c r="B65" s="4" t="s">
        <v>90</v>
      </c>
      <c r="C65">
        <f>COUNTIF(InputSheet!H:H,"*Indiana*")</f>
        <v>0</v>
      </c>
    </row>
    <row r="66" spans="2:3" x14ac:dyDescent="0.2">
      <c r="B66" s="4" t="s">
        <v>91</v>
      </c>
      <c r="C66">
        <f>COUNTIF(InputSheet!H:H,"*Iowa*")</f>
        <v>0</v>
      </c>
    </row>
    <row r="67" spans="2:3" x14ac:dyDescent="0.2">
      <c r="B67" s="4" t="s">
        <v>92</v>
      </c>
      <c r="C67">
        <f>COUNTIF(InputSheet!H:H,"*Kansas*")</f>
        <v>0</v>
      </c>
    </row>
    <row r="68" spans="2:3" x14ac:dyDescent="0.2">
      <c r="B68" s="4" t="s">
        <v>93</v>
      </c>
      <c r="C68">
        <f>COUNTIF(InputSheet!H:H,"*Kentucky*")</f>
        <v>0</v>
      </c>
    </row>
    <row r="69" spans="2:3" x14ac:dyDescent="0.2">
      <c r="B69" s="4" t="s">
        <v>94</v>
      </c>
      <c r="C69">
        <f>COUNTIF(InputSheet!H:H,"*Louisiana*")</f>
        <v>0</v>
      </c>
    </row>
    <row r="70" spans="2:3" x14ac:dyDescent="0.2">
      <c r="B70" s="4" t="s">
        <v>95</v>
      </c>
      <c r="C70">
        <f>COUNTIF(InputSheet!H:H,"*Maine*")</f>
        <v>0</v>
      </c>
    </row>
    <row r="71" spans="2:3" x14ac:dyDescent="0.2">
      <c r="B71" s="4" t="s">
        <v>96</v>
      </c>
      <c r="C71">
        <f>COUNTIF(InputSheet!H:H,"*Maryland*")</f>
        <v>0</v>
      </c>
    </row>
    <row r="72" spans="2:3" x14ac:dyDescent="0.2">
      <c r="B72" s="4" t="s">
        <v>97</v>
      </c>
      <c r="C72">
        <f>COUNTIF(InputSheet!H:H,"*Massachusetts*")</f>
        <v>0</v>
      </c>
    </row>
    <row r="73" spans="2:3" x14ac:dyDescent="0.2">
      <c r="B73" s="4" t="s">
        <v>98</v>
      </c>
      <c r="C73">
        <f>COUNTIF(InputSheet!H:H,"*Michigan*")</f>
        <v>0</v>
      </c>
    </row>
    <row r="74" spans="2:3" x14ac:dyDescent="0.2">
      <c r="B74" s="4" t="s">
        <v>99</v>
      </c>
      <c r="C74">
        <f>COUNTIF(InputSheet!H:H,"*Minnesota*")</f>
        <v>0</v>
      </c>
    </row>
    <row r="75" spans="2:3" x14ac:dyDescent="0.2">
      <c r="B75" s="4" t="s">
        <v>100</v>
      </c>
      <c r="C75">
        <f>COUNTIF(InputSheet!H:H,"*Mississippi*")</f>
        <v>0</v>
      </c>
    </row>
    <row r="76" spans="2:3" x14ac:dyDescent="0.2">
      <c r="B76" s="4" t="s">
        <v>101</v>
      </c>
      <c r="C76">
        <f>COUNTIF(InputSheet!H:H,"*Missouri*")</f>
        <v>0</v>
      </c>
    </row>
    <row r="77" spans="2:3" x14ac:dyDescent="0.2">
      <c r="B77" s="4" t="s">
        <v>102</v>
      </c>
      <c r="C77">
        <f>COUNTIF(InputSheet!H:H,"*Montana*")</f>
        <v>0</v>
      </c>
    </row>
    <row r="78" spans="2:3" x14ac:dyDescent="0.2">
      <c r="B78" s="4" t="s">
        <v>103</v>
      </c>
      <c r="C78">
        <f>COUNTIF(InputSheet!H:H,"*Nebraska*")</f>
        <v>0</v>
      </c>
    </row>
    <row r="79" spans="2:3" x14ac:dyDescent="0.2">
      <c r="B79" s="4" t="s">
        <v>104</v>
      </c>
      <c r="C79">
        <f>COUNTIF(InputSheet!H:H,"*Nevada*")</f>
        <v>0</v>
      </c>
    </row>
    <row r="80" spans="2:3" x14ac:dyDescent="0.2">
      <c r="B80" s="4" t="s">
        <v>117</v>
      </c>
      <c r="C80">
        <f>COUNTIF(InputSheet!H:H,"*New Hampshire*")</f>
        <v>0</v>
      </c>
    </row>
    <row r="81" spans="2:3" x14ac:dyDescent="0.2">
      <c r="B81" s="4" t="s">
        <v>118</v>
      </c>
      <c r="C81">
        <f>COUNTIF(InputSheet!H:H,"*New Jersey*")</f>
        <v>0</v>
      </c>
    </row>
    <row r="82" spans="2:3" x14ac:dyDescent="0.2">
      <c r="B82" s="4" t="s">
        <v>119</v>
      </c>
      <c r="C82">
        <f>COUNTIF(InputSheet!H:H,"*New Mexico*")</f>
        <v>0</v>
      </c>
    </row>
    <row r="83" spans="2:3" x14ac:dyDescent="0.2">
      <c r="B83" s="4" t="s">
        <v>120</v>
      </c>
      <c r="C83">
        <f>COUNTIF(InputSheet!H:H,"*New York*")</f>
        <v>0</v>
      </c>
    </row>
    <row r="84" spans="2:3" x14ac:dyDescent="0.2">
      <c r="B84" s="4" t="s">
        <v>121</v>
      </c>
      <c r="C84">
        <f>COUNTIF(InputSheet!H:H,"*North Carolina*")</f>
        <v>0</v>
      </c>
    </row>
    <row r="85" spans="2:3" x14ac:dyDescent="0.2">
      <c r="B85" s="4" t="s">
        <v>122</v>
      </c>
      <c r="C85">
        <f>COUNTIF(InputSheet!H:H,"*North Dakota*")</f>
        <v>0</v>
      </c>
    </row>
    <row r="86" spans="2:3" x14ac:dyDescent="0.2">
      <c r="B86" s="4" t="s">
        <v>105</v>
      </c>
      <c r="C86">
        <f>COUNTIF(InputSheet!H:H,"*Ohio*")</f>
        <v>0</v>
      </c>
    </row>
    <row r="87" spans="2:3" x14ac:dyDescent="0.2">
      <c r="B87" s="4" t="s">
        <v>106</v>
      </c>
      <c r="C87">
        <f>COUNTIF(InputSheet!H:H,"*Oklahoma*")</f>
        <v>0</v>
      </c>
    </row>
    <row r="88" spans="2:3" x14ac:dyDescent="0.2">
      <c r="B88" s="4" t="s">
        <v>107</v>
      </c>
      <c r="C88">
        <f>COUNTIF(InputSheet!H:H,"*Oregon*")</f>
        <v>0</v>
      </c>
    </row>
    <row r="89" spans="2:3" x14ac:dyDescent="0.2">
      <c r="B89" s="4" t="s">
        <v>108</v>
      </c>
      <c r="C89">
        <f>COUNTIF(InputSheet!H:H,"*Pennsylvania*")</f>
        <v>0</v>
      </c>
    </row>
    <row r="90" spans="2:3" x14ac:dyDescent="0.2">
      <c r="B90" s="4" t="s">
        <v>123</v>
      </c>
      <c r="C90">
        <f>COUNTIF(InputSheet!H:H,"*Rhode Island*")</f>
        <v>0</v>
      </c>
    </row>
    <row r="91" spans="2:3" x14ac:dyDescent="0.2">
      <c r="B91" s="4" t="s">
        <v>124</v>
      </c>
      <c r="C91">
        <f>COUNTIF(InputSheet!H:H,"*South Carolina*")</f>
        <v>0</v>
      </c>
    </row>
    <row r="92" spans="2:3" x14ac:dyDescent="0.2">
      <c r="B92" s="4" t="s">
        <v>125</v>
      </c>
      <c r="C92">
        <f>COUNTIF(InputSheet!H:H,"*South Dakota*")</f>
        <v>0</v>
      </c>
    </row>
    <row r="93" spans="2:3" x14ac:dyDescent="0.2">
      <c r="B93" s="4" t="s">
        <v>109</v>
      </c>
      <c r="C93">
        <f>COUNTIF(InputSheet!H:H,"*Tennessee*")</f>
        <v>0</v>
      </c>
    </row>
    <row r="94" spans="2:3" x14ac:dyDescent="0.2">
      <c r="B94" s="4" t="s">
        <v>110</v>
      </c>
      <c r="C94">
        <f>COUNTIF(InputSheet!H:H,"*Texas*")</f>
        <v>0</v>
      </c>
    </row>
    <row r="95" spans="2:3" x14ac:dyDescent="0.2">
      <c r="B95" s="4" t="s">
        <v>111</v>
      </c>
      <c r="C95">
        <f>COUNTIF(InputSheet!H:H,"*Utah*")</f>
        <v>0</v>
      </c>
    </row>
    <row r="96" spans="2:3" x14ac:dyDescent="0.2">
      <c r="B96" s="4" t="s">
        <v>112</v>
      </c>
      <c r="C96">
        <f>COUNTIF(InputSheet!H:H,"*Vermont*")</f>
        <v>0</v>
      </c>
    </row>
    <row r="97" spans="2:22" x14ac:dyDescent="0.2">
      <c r="B97" s="4" t="s">
        <v>113</v>
      </c>
      <c r="C97">
        <f>COUNTIF(InputSheet!H:H,"*Virginia*")</f>
        <v>0</v>
      </c>
    </row>
    <row r="98" spans="2:22" x14ac:dyDescent="0.2">
      <c r="B98" s="4" t="s">
        <v>114</v>
      </c>
      <c r="C98">
        <f>COUNTIF(InputSheet!H:H,"*, Washington*")</f>
        <v>0</v>
      </c>
      <c r="E98" s="28"/>
      <c r="F98" s="28" t="s">
        <v>145</v>
      </c>
    </row>
    <row r="99" spans="2:22" x14ac:dyDescent="0.2">
      <c r="B99" s="4" t="s">
        <v>126</v>
      </c>
      <c r="C99">
        <f>COUNTIF(InputSheet!H:H,"*West Virginia*")</f>
        <v>0</v>
      </c>
    </row>
    <row r="100" spans="2:22" x14ac:dyDescent="0.2">
      <c r="B100" s="4" t="s">
        <v>115</v>
      </c>
      <c r="C100">
        <f>COUNTIF(InputSheet!H:H,"*Wisconsin*")</f>
        <v>0</v>
      </c>
    </row>
    <row r="101" spans="2:22" x14ac:dyDescent="0.2">
      <c r="B101" s="4" t="s">
        <v>116</v>
      </c>
      <c r="C101">
        <f>COUNTIF(InputSheet!H:H,"*Wyoming*")</f>
        <v>0</v>
      </c>
    </row>
    <row r="102" spans="2:22" x14ac:dyDescent="0.2">
      <c r="B102" s="4" t="s">
        <v>146</v>
      </c>
      <c r="C102">
        <f>COUNTIF(InputSheet!H:H,"*District of Columbia*")</f>
        <v>0</v>
      </c>
    </row>
    <row r="103" spans="2:22" x14ac:dyDescent="0.2">
      <c r="B103" s="2" t="s">
        <v>51</v>
      </c>
      <c r="C103" s="2">
        <f>SUM(C52:C102)</f>
        <v>0</v>
      </c>
    </row>
    <row r="105" spans="2:22" x14ac:dyDescent="0.2">
      <c r="C105" s="4" t="s">
        <v>140</v>
      </c>
      <c r="D105" s="4" t="s">
        <v>146</v>
      </c>
      <c r="E105" s="4" t="s">
        <v>132</v>
      </c>
    </row>
    <row r="106" spans="2:22" x14ac:dyDescent="0.2">
      <c r="C106" s="4" t="s">
        <v>141</v>
      </c>
      <c r="D106" s="26">
        <f>VLOOKUP(actReg,regData,2,FALSE)</f>
        <v>0</v>
      </c>
      <c r="E106" s="4" t="s">
        <v>134</v>
      </c>
    </row>
    <row r="107" spans="2:22" x14ac:dyDescent="0.2">
      <c r="C107" s="4" t="s">
        <v>138</v>
      </c>
      <c r="D107" s="4" t="str">
        <f>VLOOKUP(actRegValue,classValues,2,TRUE)</f>
        <v>class5</v>
      </c>
      <c r="E107" s="4" t="s">
        <v>133</v>
      </c>
    </row>
    <row r="110" spans="2:22" x14ac:dyDescent="0.2">
      <c r="U110" s="32" t="s">
        <v>135</v>
      </c>
      <c r="V110" s="32"/>
    </row>
    <row r="111" spans="2:22" x14ac:dyDescent="0.2">
      <c r="C111">
        <v>0</v>
      </c>
      <c r="D111" s="4" t="s">
        <v>136</v>
      </c>
      <c r="U111" s="27" t="str">
        <f>CONCATENATE(C111,"-",C112-1)</f>
        <v>0--1</v>
      </c>
    </row>
    <row r="112" spans="2:22" x14ac:dyDescent="0.2">
      <c r="C112">
        <f>ROUNDUP((MAX($C$52:$C$101)*0.1167),0)</f>
        <v>0</v>
      </c>
      <c r="D112" s="4" t="s">
        <v>127</v>
      </c>
      <c r="U112" s="27" t="str">
        <f>CONCATENATE(C112,"-",C113-1)</f>
        <v>0--1</v>
      </c>
      <c r="V112" s="25"/>
    </row>
    <row r="113" spans="3:22" x14ac:dyDescent="0.2">
      <c r="C113">
        <f>ROUNDUP((MAX($C$52:$C$101)*0.334),0)</f>
        <v>0</v>
      </c>
      <c r="D113" s="4" t="s">
        <v>128</v>
      </c>
      <c r="U113" s="27" t="str">
        <f>CONCATENATE(C113,"-",C114-1)</f>
        <v>0--1</v>
      </c>
      <c r="V113" s="23"/>
    </row>
    <row r="114" spans="3:22" x14ac:dyDescent="0.2">
      <c r="C114">
        <f>ROUNDUP((MAX($C$52:$C$101)*0.5),0)</f>
        <v>0</v>
      </c>
      <c r="D114" s="4" t="s">
        <v>129</v>
      </c>
      <c r="U114" s="27" t="str">
        <f>CONCATENATE(C114,"-",C115-1)</f>
        <v>0--1</v>
      </c>
      <c r="V114" s="24"/>
    </row>
    <row r="115" spans="3:22" x14ac:dyDescent="0.2">
      <c r="C115">
        <f>ROUNDUP((MAX($C$52:$C$101)*0.667),0)</f>
        <v>0</v>
      </c>
      <c r="D115" s="4" t="s">
        <v>130</v>
      </c>
      <c r="U115" s="27" t="str">
        <f>CONCATENATE(C115,"-",C116-1)</f>
        <v>0--1</v>
      </c>
      <c r="V115" s="22"/>
    </row>
    <row r="116" spans="3:22" x14ac:dyDescent="0.2">
      <c r="C116">
        <f>ROUNDUP((MAX($C$52:$C$101)*0.833),0)</f>
        <v>0</v>
      </c>
      <c r="D116" s="4" t="s">
        <v>131</v>
      </c>
      <c r="U116" s="27" t="str">
        <f>CONCATENATE(C116,"+")</f>
        <v>0+</v>
      </c>
      <c r="V116" s="21"/>
    </row>
    <row r="117" spans="3:22" ht="18" x14ac:dyDescent="0.25">
      <c r="K117" s="15" t="s">
        <v>137</v>
      </c>
    </row>
    <row r="118" spans="3:22" x14ac:dyDescent="0.2">
      <c r="F118" s="6" t="s">
        <v>139</v>
      </c>
    </row>
  </sheetData>
  <mergeCells count="1">
    <mergeCell ref="U110:V110"/>
  </mergeCells>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B11" sqref="B11"/>
    </sheetView>
  </sheetViews>
  <sheetFormatPr defaultRowHeight="12.75" x14ac:dyDescent="0.2"/>
  <cols>
    <col min="1" max="1" width="3.28515625" customWidth="1"/>
  </cols>
  <sheetData>
    <row r="2" spans="1:2" x14ac:dyDescent="0.2">
      <c r="A2" s="2" t="s">
        <v>67</v>
      </c>
    </row>
    <row r="3" spans="1:2" x14ac:dyDescent="0.2">
      <c r="B3" s="4" t="s">
        <v>74</v>
      </c>
    </row>
    <row r="4" spans="1:2" x14ac:dyDescent="0.2">
      <c r="B4" s="4" t="s">
        <v>68</v>
      </c>
    </row>
    <row r="5" spans="1:2" x14ac:dyDescent="0.2">
      <c r="B5" s="4" t="s">
        <v>70</v>
      </c>
    </row>
    <row r="6" spans="1:2" x14ac:dyDescent="0.2">
      <c r="B6" s="4" t="s">
        <v>71</v>
      </c>
    </row>
    <row r="7" spans="1:2" x14ac:dyDescent="0.2">
      <c r="B7" s="4" t="s">
        <v>73</v>
      </c>
    </row>
    <row r="8" spans="1:2" x14ac:dyDescent="0.2">
      <c r="B8" s="4" t="s">
        <v>72</v>
      </c>
    </row>
    <row r="9" spans="1:2" x14ac:dyDescent="0.2">
      <c r="B9" s="4" t="s">
        <v>69</v>
      </c>
    </row>
    <row r="10" spans="1:2" x14ac:dyDescent="0.2">
      <c r="B10" s="4" t="s">
        <v>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Begin</vt:lpstr>
      <vt:lpstr>InputSheet</vt:lpstr>
      <vt:lpstr>Statistics</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Number_of_Seeding_Passes</vt:lpstr>
      <vt:lpstr>old</vt:lpstr>
      <vt:lpstr>Statistics!Print_Area</vt:lpstr>
      <vt:lpstr>regData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2012-01-12T17:13:26Z</cp:lastPrinted>
  <dcterms:created xsi:type="dcterms:W3CDTF">2011-11-06T04:09:30Z</dcterms:created>
  <dcterms:modified xsi:type="dcterms:W3CDTF">2012-01-12T17:33:53Z</dcterms:modified>
</cp:coreProperties>
</file>